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622896c4932df7/Desktop/"/>
    </mc:Choice>
  </mc:AlternateContent>
  <xr:revisionPtr revIDLastSave="0" documentId="8_{1175B692-E448-46E6-A731-CD7807A8A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Statements" sheetId="7" r:id="rId1"/>
    <sheet name="Ratio Analysis" sheetId="3" r:id="rId2"/>
    <sheet name="Common-Size Statements" sheetId="4" r:id="rId3"/>
    <sheet name="Forecast Assumptions" sheetId="5" r:id="rId4"/>
    <sheet name="Valuation" sheetId="6" r:id="rId5"/>
    <sheet name="Input shee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6" l="1"/>
  <c r="L15" i="7"/>
  <c r="M60" i="7"/>
  <c r="N60" i="7" s="1"/>
  <c r="M61" i="7"/>
  <c r="N61" i="7" s="1"/>
  <c r="O61" i="7" s="1"/>
  <c r="P61" i="7" s="1"/>
  <c r="M62" i="7"/>
  <c r="N62" i="7" s="1"/>
  <c r="O62" i="7" s="1"/>
  <c r="P62" i="7" s="1"/>
  <c r="M65" i="7"/>
  <c r="N65" i="7" s="1"/>
  <c r="O65" i="7" s="1"/>
  <c r="P65" i="7" s="1"/>
  <c r="L65" i="7"/>
  <c r="L64" i="7"/>
  <c r="M64" i="7" s="1"/>
  <c r="N64" i="7" s="1"/>
  <c r="O64" i="7" s="1"/>
  <c r="P64" i="7" s="1"/>
  <c r="L63" i="7"/>
  <c r="M63" i="7" s="1"/>
  <c r="N63" i="7" s="1"/>
  <c r="O63" i="7" s="1"/>
  <c r="P63" i="7" s="1"/>
  <c r="L62" i="7"/>
  <c r="L66" i="7" s="1"/>
  <c r="L61" i="7"/>
  <c r="L60" i="7"/>
  <c r="M53" i="7"/>
  <c r="N53" i="7" s="1"/>
  <c r="O53" i="7" s="1"/>
  <c r="P53" i="7" s="1"/>
  <c r="N52" i="7"/>
  <c r="O52" i="7" s="1"/>
  <c r="P52" i="7" s="1"/>
  <c r="M51" i="7"/>
  <c r="N51" i="7" s="1"/>
  <c r="O51" i="7" s="1"/>
  <c r="P51" i="7" s="1"/>
  <c r="L53" i="7"/>
  <c r="L52" i="7"/>
  <c r="M52" i="7" s="1"/>
  <c r="L51" i="7"/>
  <c r="M43" i="7"/>
  <c r="N43" i="7" s="1"/>
  <c r="O43" i="7" s="1"/>
  <c r="P43" i="7" s="1"/>
  <c r="M40" i="7"/>
  <c r="N40" i="7" s="1"/>
  <c r="O40" i="7" s="1"/>
  <c r="P40" i="7" s="1"/>
  <c r="M39" i="7"/>
  <c r="N39" i="7" s="1"/>
  <c r="O39" i="7" s="1"/>
  <c r="P39" i="7" s="1"/>
  <c r="L40" i="7"/>
  <c r="L41" i="7"/>
  <c r="M41" i="7" s="1"/>
  <c r="N41" i="7" s="1"/>
  <c r="O41" i="7" s="1"/>
  <c r="P41" i="7" s="1"/>
  <c r="L42" i="7"/>
  <c r="M42" i="7" s="1"/>
  <c r="N42" i="7" s="1"/>
  <c r="O42" i="7" s="1"/>
  <c r="P42" i="7" s="1"/>
  <c r="L43" i="7"/>
  <c r="L39" i="7"/>
  <c r="N29" i="7"/>
  <c r="O29" i="7" s="1"/>
  <c r="P29" i="7" s="1"/>
  <c r="D14" i="5"/>
  <c r="E14" i="5"/>
  <c r="F14" i="5"/>
  <c r="G14" i="5"/>
  <c r="H14" i="5"/>
  <c r="I14" i="5"/>
  <c r="J14" i="5"/>
  <c r="K14" i="5"/>
  <c r="C14" i="5"/>
  <c r="L29" i="7"/>
  <c r="M29" i="7" s="1"/>
  <c r="P18" i="7"/>
  <c r="O18" i="7"/>
  <c r="M18" i="7"/>
  <c r="N18" i="7" s="1"/>
  <c r="L11" i="7"/>
  <c r="L9" i="4" s="1"/>
  <c r="L6" i="7"/>
  <c r="L31" i="7" s="1"/>
  <c r="D20" i="5"/>
  <c r="E20" i="5"/>
  <c r="F20" i="5"/>
  <c r="G20" i="5"/>
  <c r="H20" i="5"/>
  <c r="I20" i="5"/>
  <c r="J20" i="5"/>
  <c r="K20" i="5"/>
  <c r="C20" i="5"/>
  <c r="D19" i="5"/>
  <c r="E19" i="5"/>
  <c r="F19" i="5"/>
  <c r="G19" i="5"/>
  <c r="H19" i="5"/>
  <c r="I19" i="5"/>
  <c r="J19" i="5"/>
  <c r="K19" i="5"/>
  <c r="C19" i="5"/>
  <c r="D18" i="5"/>
  <c r="E18" i="5"/>
  <c r="F18" i="5"/>
  <c r="G18" i="5"/>
  <c r="H18" i="5"/>
  <c r="I18" i="5"/>
  <c r="J18" i="5"/>
  <c r="K18" i="5"/>
  <c r="C18" i="5"/>
  <c r="D17" i="5"/>
  <c r="E17" i="5"/>
  <c r="F17" i="5"/>
  <c r="G17" i="5"/>
  <c r="H17" i="5"/>
  <c r="I17" i="5"/>
  <c r="J17" i="5"/>
  <c r="K17" i="5"/>
  <c r="C17" i="5"/>
  <c r="D15" i="5"/>
  <c r="E15" i="5"/>
  <c r="F15" i="5"/>
  <c r="G15" i="5"/>
  <c r="H15" i="5"/>
  <c r="I15" i="5"/>
  <c r="J15" i="5"/>
  <c r="K15" i="5"/>
  <c r="C15" i="5"/>
  <c r="D13" i="5"/>
  <c r="E13" i="5"/>
  <c r="F13" i="5"/>
  <c r="G13" i="5"/>
  <c r="H13" i="5"/>
  <c r="I13" i="5"/>
  <c r="J13" i="5"/>
  <c r="K13" i="5"/>
  <c r="C13" i="5"/>
  <c r="D12" i="5"/>
  <c r="E12" i="5"/>
  <c r="F12" i="5"/>
  <c r="G12" i="5"/>
  <c r="H12" i="5"/>
  <c r="I12" i="5"/>
  <c r="J12" i="5"/>
  <c r="K12" i="5"/>
  <c r="C12" i="5"/>
  <c r="D6" i="5"/>
  <c r="E6" i="5"/>
  <c r="F6" i="5"/>
  <c r="G6" i="5"/>
  <c r="H6" i="5"/>
  <c r="I6" i="5"/>
  <c r="J6" i="5"/>
  <c r="K6" i="5"/>
  <c r="C6" i="5"/>
  <c r="D5" i="5"/>
  <c r="E5" i="5"/>
  <c r="F5" i="5"/>
  <c r="G5" i="5"/>
  <c r="H5" i="5"/>
  <c r="I5" i="5"/>
  <c r="J5" i="5"/>
  <c r="K5" i="5"/>
  <c r="C5" i="5"/>
  <c r="D4" i="5"/>
  <c r="E4" i="5"/>
  <c r="F4" i="5"/>
  <c r="G4" i="5"/>
  <c r="H4" i="5"/>
  <c r="I4" i="5"/>
  <c r="J4" i="5"/>
  <c r="K4" i="5"/>
  <c r="C4" i="5"/>
  <c r="D3" i="5"/>
  <c r="E3" i="5"/>
  <c r="F3" i="5"/>
  <c r="G3" i="5"/>
  <c r="H3" i="5"/>
  <c r="I3" i="5"/>
  <c r="J3" i="5"/>
  <c r="K3" i="5"/>
  <c r="C3" i="5"/>
  <c r="K5" i="4"/>
  <c r="K7" i="4"/>
  <c r="K8" i="4"/>
  <c r="K9" i="4"/>
  <c r="K13" i="4"/>
  <c r="K14" i="4"/>
  <c r="K15" i="4"/>
  <c r="K17" i="4"/>
  <c r="K19" i="4"/>
  <c r="J5" i="4"/>
  <c r="J7" i="4"/>
  <c r="J8" i="4"/>
  <c r="J9" i="4"/>
  <c r="J13" i="4"/>
  <c r="J14" i="4"/>
  <c r="J15" i="4"/>
  <c r="J17" i="4"/>
  <c r="J19" i="4"/>
  <c r="I5" i="4"/>
  <c r="I7" i="4"/>
  <c r="I8" i="4"/>
  <c r="I9" i="4"/>
  <c r="I13" i="4"/>
  <c r="I14" i="4"/>
  <c r="I15" i="4"/>
  <c r="I17" i="4"/>
  <c r="I19" i="4"/>
  <c r="H5" i="4"/>
  <c r="H7" i="4"/>
  <c r="H8" i="4"/>
  <c r="H9" i="4"/>
  <c r="H13" i="4"/>
  <c r="H14" i="4"/>
  <c r="H15" i="4"/>
  <c r="H17" i="4"/>
  <c r="H19" i="4"/>
  <c r="G5" i="4"/>
  <c r="G7" i="4"/>
  <c r="G8" i="4"/>
  <c r="G9" i="4"/>
  <c r="G13" i="4"/>
  <c r="G14" i="4"/>
  <c r="G15" i="4"/>
  <c r="G17" i="4"/>
  <c r="G19" i="4"/>
  <c r="F5" i="4"/>
  <c r="F6" i="4"/>
  <c r="F7" i="4"/>
  <c r="F8" i="4"/>
  <c r="F9" i="4"/>
  <c r="F13" i="4"/>
  <c r="F14" i="4"/>
  <c r="F15" i="4"/>
  <c r="F17" i="4"/>
  <c r="F19" i="4"/>
  <c r="E5" i="4"/>
  <c r="E7" i="4"/>
  <c r="E8" i="4"/>
  <c r="E9" i="4"/>
  <c r="E13" i="4"/>
  <c r="E14" i="4"/>
  <c r="E15" i="4"/>
  <c r="E16" i="4"/>
  <c r="E17" i="4"/>
  <c r="E19" i="4"/>
  <c r="D5" i="4"/>
  <c r="D7" i="4"/>
  <c r="D8" i="4"/>
  <c r="D9" i="4"/>
  <c r="D13" i="4"/>
  <c r="D14" i="4"/>
  <c r="D15" i="4"/>
  <c r="D17" i="4"/>
  <c r="D19" i="4"/>
  <c r="C5" i="4"/>
  <c r="C7" i="4"/>
  <c r="C8" i="4"/>
  <c r="C9" i="4"/>
  <c r="C13" i="4"/>
  <c r="C14" i="4"/>
  <c r="C15" i="4"/>
  <c r="C17" i="4"/>
  <c r="C19" i="4"/>
  <c r="K4" i="4"/>
  <c r="J4" i="4"/>
  <c r="I4" i="4"/>
  <c r="H4" i="4"/>
  <c r="G4" i="4"/>
  <c r="F4" i="4"/>
  <c r="E4" i="4"/>
  <c r="C4" i="4"/>
  <c r="D4" i="4"/>
  <c r="B13" i="4"/>
  <c r="B5" i="4"/>
  <c r="B8" i="4"/>
  <c r="B9" i="4"/>
  <c r="B14" i="4"/>
  <c r="B15" i="4"/>
  <c r="B17" i="4"/>
  <c r="B19" i="4"/>
  <c r="B4" i="4"/>
  <c r="C17" i="3"/>
  <c r="D10" i="3"/>
  <c r="E10" i="3"/>
  <c r="F10" i="3"/>
  <c r="G10" i="3"/>
  <c r="H10" i="3"/>
  <c r="I10" i="3"/>
  <c r="J10" i="3"/>
  <c r="K10" i="3"/>
  <c r="L10" i="3"/>
  <c r="C10" i="3"/>
  <c r="D9" i="3"/>
  <c r="E9" i="3"/>
  <c r="F9" i="3"/>
  <c r="G9" i="3"/>
  <c r="H9" i="3"/>
  <c r="I9" i="3"/>
  <c r="J9" i="3"/>
  <c r="K9" i="3"/>
  <c r="L9" i="3"/>
  <c r="C9" i="3"/>
  <c r="D8" i="3"/>
  <c r="E8" i="3"/>
  <c r="F8" i="3"/>
  <c r="G8" i="3"/>
  <c r="H8" i="3"/>
  <c r="I8" i="3"/>
  <c r="J8" i="3"/>
  <c r="K8" i="3"/>
  <c r="L8" i="3"/>
  <c r="C8" i="3"/>
  <c r="E5" i="3"/>
  <c r="I5" i="3"/>
  <c r="K66" i="7"/>
  <c r="J66" i="7"/>
  <c r="I66" i="7"/>
  <c r="H66" i="7"/>
  <c r="G66" i="7"/>
  <c r="F66" i="7"/>
  <c r="E66" i="7"/>
  <c r="D66" i="7"/>
  <c r="C66" i="7"/>
  <c r="B66" i="7"/>
  <c r="K56" i="7"/>
  <c r="J56" i="7"/>
  <c r="I56" i="7"/>
  <c r="H56" i="7"/>
  <c r="G56" i="7"/>
  <c r="F56" i="7"/>
  <c r="E56" i="7"/>
  <c r="D56" i="7"/>
  <c r="C56" i="7"/>
  <c r="B56" i="7"/>
  <c r="K44" i="7"/>
  <c r="J44" i="7"/>
  <c r="I44" i="7"/>
  <c r="H44" i="7"/>
  <c r="G44" i="7"/>
  <c r="F44" i="7"/>
  <c r="E44" i="7"/>
  <c r="D44" i="7"/>
  <c r="C44" i="7"/>
  <c r="B44" i="7"/>
  <c r="K34" i="7"/>
  <c r="J34" i="7"/>
  <c r="I34" i="7"/>
  <c r="H34" i="7"/>
  <c r="G34" i="7"/>
  <c r="F34" i="7"/>
  <c r="E34" i="7"/>
  <c r="F5" i="3" s="1"/>
  <c r="D34" i="7"/>
  <c r="C34" i="7"/>
  <c r="B34" i="7"/>
  <c r="K17" i="7"/>
  <c r="K16" i="4" s="1"/>
  <c r="J17" i="7"/>
  <c r="J16" i="4" s="1"/>
  <c r="I17" i="7"/>
  <c r="I16" i="4" s="1"/>
  <c r="H17" i="7"/>
  <c r="H16" i="4" s="1"/>
  <c r="G17" i="7"/>
  <c r="G16" i="4" s="1"/>
  <c r="F17" i="7"/>
  <c r="F16" i="4" s="1"/>
  <c r="E17" i="7"/>
  <c r="D17" i="7"/>
  <c r="D16" i="4" s="1"/>
  <c r="C17" i="7"/>
  <c r="C16" i="4" s="1"/>
  <c r="B17" i="7"/>
  <c r="B16" i="4" s="1"/>
  <c r="K12" i="7"/>
  <c r="K10" i="4" s="1"/>
  <c r="J12" i="7"/>
  <c r="J10" i="4" s="1"/>
  <c r="I12" i="7"/>
  <c r="I10" i="4" s="1"/>
  <c r="H12" i="7"/>
  <c r="H10" i="4" s="1"/>
  <c r="G12" i="7"/>
  <c r="G10" i="4" s="1"/>
  <c r="F12" i="7"/>
  <c r="F10" i="4" s="1"/>
  <c r="E12" i="7"/>
  <c r="E10" i="4" s="1"/>
  <c r="D12" i="7"/>
  <c r="D10" i="4" s="1"/>
  <c r="C12" i="7"/>
  <c r="C10" i="4" s="1"/>
  <c r="B12" i="7"/>
  <c r="B10" i="4" s="1"/>
  <c r="K8" i="7"/>
  <c r="K6" i="4" s="1"/>
  <c r="J8" i="7"/>
  <c r="J6" i="4" s="1"/>
  <c r="I8" i="7"/>
  <c r="J17" i="3" s="1"/>
  <c r="H8" i="7"/>
  <c r="H6" i="4" s="1"/>
  <c r="G8" i="7"/>
  <c r="G6" i="4" s="1"/>
  <c r="F8" i="7"/>
  <c r="G17" i="3" s="1"/>
  <c r="E8" i="7"/>
  <c r="F17" i="3" s="1"/>
  <c r="D8" i="7"/>
  <c r="D6" i="4" s="1"/>
  <c r="C8" i="7"/>
  <c r="C6" i="4" s="1"/>
  <c r="B8" i="7"/>
  <c r="B6" i="4" s="1"/>
  <c r="L15" i="4" l="1"/>
  <c r="L14" i="4"/>
  <c r="M6" i="7"/>
  <c r="M31" i="7" s="1"/>
  <c r="K33" i="4"/>
  <c r="G5" i="3"/>
  <c r="D43" i="4"/>
  <c r="F68" i="7"/>
  <c r="J33" i="4"/>
  <c r="K5" i="3"/>
  <c r="C5" i="3"/>
  <c r="E17" i="3"/>
  <c r="I17" i="3"/>
  <c r="C46" i="7"/>
  <c r="C33" i="4" s="1"/>
  <c r="I43" i="4"/>
  <c r="C68" i="7"/>
  <c r="G68" i="7"/>
  <c r="K68" i="7"/>
  <c r="L5" i="3"/>
  <c r="H5" i="3"/>
  <c r="D5" i="3"/>
  <c r="L17" i="3"/>
  <c r="H17" i="3"/>
  <c r="D17" i="3"/>
  <c r="E6" i="4"/>
  <c r="D46" i="7"/>
  <c r="H33" i="4"/>
  <c r="H68" i="7"/>
  <c r="K17" i="3"/>
  <c r="I6" i="4"/>
  <c r="I33" i="4"/>
  <c r="C43" i="4"/>
  <c r="J5" i="3"/>
  <c r="D33" i="4"/>
  <c r="L13" i="4"/>
  <c r="L7" i="7"/>
  <c r="L8" i="7" s="1"/>
  <c r="M17" i="3" s="1"/>
  <c r="M7" i="4"/>
  <c r="L10" i="7"/>
  <c r="L30" i="7"/>
  <c r="L32" i="7"/>
  <c r="L38" i="7"/>
  <c r="L17" i="4"/>
  <c r="L4" i="4"/>
  <c r="L7" i="4"/>
  <c r="N66" i="7"/>
  <c r="O60" i="7"/>
  <c r="M66" i="7"/>
  <c r="I13" i="7"/>
  <c r="F46" i="7"/>
  <c r="F33" i="4" s="1"/>
  <c r="B68" i="7"/>
  <c r="J68" i="7"/>
  <c r="G13" i="7"/>
  <c r="H46" i="7"/>
  <c r="H43" i="4" s="1"/>
  <c r="D13" i="7"/>
  <c r="H13" i="7"/>
  <c r="E46" i="7"/>
  <c r="B13" i="7"/>
  <c r="J13" i="7"/>
  <c r="I46" i="7"/>
  <c r="B46" i="7"/>
  <c r="J46" i="7"/>
  <c r="J43" i="4" s="1"/>
  <c r="G46" i="7"/>
  <c r="I68" i="7"/>
  <c r="D68" i="7"/>
  <c r="K46" i="7"/>
  <c r="K43" i="4" s="1"/>
  <c r="E68" i="7"/>
  <c r="E13" i="7"/>
  <c r="C13" i="7"/>
  <c r="K13" i="7"/>
  <c r="F13" i="7"/>
  <c r="G19" i="7"/>
  <c r="L5" i="4" l="1"/>
  <c r="M7" i="7"/>
  <c r="M5" i="4" s="1"/>
  <c r="M11" i="7"/>
  <c r="M9" i="4" s="1"/>
  <c r="M4" i="4"/>
  <c r="M13" i="4"/>
  <c r="M17" i="4"/>
  <c r="M38" i="7"/>
  <c r="N10" i="3" s="1"/>
  <c r="N6" i="7"/>
  <c r="N7" i="4" s="1"/>
  <c r="M30" i="7"/>
  <c r="N8" i="3" s="1"/>
  <c r="M10" i="7"/>
  <c r="M12" i="7" s="1"/>
  <c r="M10" i="4" s="1"/>
  <c r="M32" i="7"/>
  <c r="I72" i="7"/>
  <c r="I67" i="4" s="1"/>
  <c r="J14" i="3"/>
  <c r="B29" i="4"/>
  <c r="B39" i="4"/>
  <c r="B30" i="4"/>
  <c r="B35" i="4"/>
  <c r="B40" i="4"/>
  <c r="B44" i="4"/>
  <c r="B37" i="4"/>
  <c r="B28" i="4"/>
  <c r="B38" i="4"/>
  <c r="B45" i="4"/>
  <c r="C28" i="3"/>
  <c r="B32" i="4"/>
  <c r="B31" i="4"/>
  <c r="B41" i="4"/>
  <c r="B42" i="4"/>
  <c r="C27" i="3"/>
  <c r="C11" i="3"/>
  <c r="H18" i="3"/>
  <c r="G12" i="4"/>
  <c r="B43" i="4"/>
  <c r="F19" i="7"/>
  <c r="F12" i="4"/>
  <c r="G18" i="3"/>
  <c r="G28" i="4"/>
  <c r="G32" i="4"/>
  <c r="G38" i="4"/>
  <c r="G42" i="4"/>
  <c r="G40" i="4"/>
  <c r="G29" i="4"/>
  <c r="G35" i="4"/>
  <c r="G41" i="4"/>
  <c r="G30" i="4"/>
  <c r="G37" i="4"/>
  <c r="G31" i="4"/>
  <c r="H28" i="3"/>
  <c r="G39" i="4"/>
  <c r="G44" i="4"/>
  <c r="G45" i="4"/>
  <c r="H27" i="3"/>
  <c r="H11" i="3"/>
  <c r="H19" i="7"/>
  <c r="I18" i="3"/>
  <c r="H12" i="4"/>
  <c r="E19" i="7"/>
  <c r="F18" i="3"/>
  <c r="E12" i="4"/>
  <c r="I12" i="4"/>
  <c r="J18" i="3"/>
  <c r="K72" i="7"/>
  <c r="L14" i="3"/>
  <c r="E72" i="7"/>
  <c r="E67" i="4"/>
  <c r="F14" i="3"/>
  <c r="J72" i="7"/>
  <c r="J67" i="4"/>
  <c r="K14" i="3"/>
  <c r="G33" i="4"/>
  <c r="J19" i="7"/>
  <c r="J12" i="4"/>
  <c r="K18" i="3"/>
  <c r="B72" i="7"/>
  <c r="B67" i="4" s="1"/>
  <c r="C14" i="3"/>
  <c r="D31" i="4"/>
  <c r="D37" i="4"/>
  <c r="D41" i="4"/>
  <c r="D28" i="4"/>
  <c r="D32" i="4"/>
  <c r="D38" i="4"/>
  <c r="D42" i="4"/>
  <c r="D45" i="4"/>
  <c r="D35" i="4"/>
  <c r="D44" i="4"/>
  <c r="E28" i="3"/>
  <c r="D30" i="4"/>
  <c r="D29" i="4"/>
  <c r="D39" i="4"/>
  <c r="D40" i="4"/>
  <c r="E27" i="3"/>
  <c r="E11" i="3"/>
  <c r="G72" i="7"/>
  <c r="G67" i="4" s="1"/>
  <c r="H14" i="3"/>
  <c r="G43" i="4"/>
  <c r="G21" i="7"/>
  <c r="G18" i="4"/>
  <c r="E30" i="4"/>
  <c r="E35" i="4"/>
  <c r="E40" i="4"/>
  <c r="E44" i="4"/>
  <c r="E45" i="4"/>
  <c r="E31" i="4"/>
  <c r="E37" i="4"/>
  <c r="E41" i="4"/>
  <c r="E32" i="4"/>
  <c r="E42" i="4"/>
  <c r="F27" i="3"/>
  <c r="F11" i="3"/>
  <c r="E29" i="4"/>
  <c r="E28" i="4"/>
  <c r="E38" i="4"/>
  <c r="F28" i="3"/>
  <c r="E39" i="4"/>
  <c r="H72" i="7"/>
  <c r="I14" i="3"/>
  <c r="I30" i="4"/>
  <c r="I35" i="4"/>
  <c r="I40" i="4"/>
  <c r="I44" i="4"/>
  <c r="I31" i="4"/>
  <c r="I38" i="4"/>
  <c r="I45" i="4"/>
  <c r="I32" i="4"/>
  <c r="I39" i="4"/>
  <c r="I28" i="4"/>
  <c r="I41" i="4"/>
  <c r="I42" i="4"/>
  <c r="J27" i="3"/>
  <c r="J11" i="3"/>
  <c r="I37" i="4"/>
  <c r="I29" i="4"/>
  <c r="J28" i="3"/>
  <c r="E33" i="4"/>
  <c r="K19" i="7"/>
  <c r="L18" i="3"/>
  <c r="K12" i="4"/>
  <c r="K28" i="4"/>
  <c r="K32" i="4"/>
  <c r="K38" i="4"/>
  <c r="K42" i="4"/>
  <c r="K29" i="4"/>
  <c r="K35" i="4"/>
  <c r="K41" i="4"/>
  <c r="K30" i="4"/>
  <c r="K37" i="4"/>
  <c r="K31" i="4"/>
  <c r="K39" i="4"/>
  <c r="K44" i="4"/>
  <c r="K45" i="4"/>
  <c r="L28" i="3"/>
  <c r="K40" i="4"/>
  <c r="L27" i="3"/>
  <c r="L11" i="3"/>
  <c r="I19" i="7"/>
  <c r="D19" i="7"/>
  <c r="E18" i="3"/>
  <c r="D12" i="4"/>
  <c r="C19" i="7"/>
  <c r="D18" i="3"/>
  <c r="C12" i="4"/>
  <c r="D72" i="7"/>
  <c r="E14" i="3"/>
  <c r="J29" i="4"/>
  <c r="J39" i="4"/>
  <c r="J30" i="4"/>
  <c r="J37" i="4"/>
  <c r="J42" i="4"/>
  <c r="J31" i="4"/>
  <c r="J38" i="4"/>
  <c r="J44" i="4"/>
  <c r="J32" i="4"/>
  <c r="J40" i="4"/>
  <c r="J35" i="4"/>
  <c r="J28" i="4"/>
  <c r="J41" i="4"/>
  <c r="J45" i="4"/>
  <c r="K27" i="3"/>
  <c r="K11" i="3"/>
  <c r="K28" i="3"/>
  <c r="B19" i="7"/>
  <c r="B12" i="4"/>
  <c r="C18" i="3"/>
  <c r="H31" i="4"/>
  <c r="H37" i="4"/>
  <c r="H41" i="4"/>
  <c r="H32" i="4"/>
  <c r="H39" i="4"/>
  <c r="H44" i="4"/>
  <c r="H28" i="4"/>
  <c r="H40" i="4"/>
  <c r="H45" i="4"/>
  <c r="H29" i="4"/>
  <c r="H35" i="4"/>
  <c r="H42" i="4"/>
  <c r="H30" i="4"/>
  <c r="I28" i="3"/>
  <c r="H38" i="4"/>
  <c r="I27" i="3"/>
  <c r="I11" i="3"/>
  <c r="F29" i="4"/>
  <c r="F28" i="4"/>
  <c r="F39" i="4"/>
  <c r="F30" i="4"/>
  <c r="F35" i="4"/>
  <c r="F40" i="4"/>
  <c r="F44" i="4"/>
  <c r="F31" i="4"/>
  <c r="F41" i="4"/>
  <c r="F32" i="4"/>
  <c r="F42" i="4"/>
  <c r="G27" i="3"/>
  <c r="G11" i="3"/>
  <c r="F45" i="4"/>
  <c r="F37" i="4"/>
  <c r="F38" i="4"/>
  <c r="G28" i="3"/>
  <c r="F43" i="4"/>
  <c r="C72" i="7"/>
  <c r="C67" i="4"/>
  <c r="D14" i="3"/>
  <c r="C28" i="4"/>
  <c r="C32" i="4"/>
  <c r="C38" i="4"/>
  <c r="C42" i="4"/>
  <c r="C29" i="4"/>
  <c r="C39" i="4"/>
  <c r="C35" i="4"/>
  <c r="C44" i="4"/>
  <c r="C45" i="4"/>
  <c r="D28" i="3"/>
  <c r="C31" i="4"/>
  <c r="C37" i="4"/>
  <c r="C30" i="4"/>
  <c r="C40" i="4"/>
  <c r="D27" i="3"/>
  <c r="D11" i="3"/>
  <c r="C41" i="4"/>
  <c r="F72" i="7"/>
  <c r="F67" i="4"/>
  <c r="G14" i="3"/>
  <c r="E43" i="4"/>
  <c r="B33" i="4"/>
  <c r="N17" i="4"/>
  <c r="N32" i="7"/>
  <c r="L44" i="7"/>
  <c r="C4" i="6"/>
  <c r="L34" i="7"/>
  <c r="M9" i="3"/>
  <c r="S9" i="7"/>
  <c r="M8" i="3"/>
  <c r="N9" i="3"/>
  <c r="L8" i="4"/>
  <c r="L12" i="7"/>
  <c r="L10" i="4" s="1"/>
  <c r="L6" i="4"/>
  <c r="M10" i="3"/>
  <c r="P60" i="7"/>
  <c r="P66" i="7" s="1"/>
  <c r="O66" i="7"/>
  <c r="M34" i="7" l="1"/>
  <c r="M8" i="7"/>
  <c r="M6" i="4" s="1"/>
  <c r="T9" i="7"/>
  <c r="N30" i="7"/>
  <c r="O8" i="3" s="1"/>
  <c r="N7" i="7"/>
  <c r="N8" i="7" s="1"/>
  <c r="N10" i="7"/>
  <c r="N8" i="4" s="1"/>
  <c r="D4" i="6"/>
  <c r="N4" i="4"/>
  <c r="N13" i="4"/>
  <c r="N31" i="7"/>
  <c r="M44" i="7"/>
  <c r="N11" i="7"/>
  <c r="N9" i="4" s="1"/>
  <c r="O6" i="7"/>
  <c r="O17" i="4" s="1"/>
  <c r="N38" i="7"/>
  <c r="O10" i="3" s="1"/>
  <c r="M8" i="4"/>
  <c r="H51" i="4"/>
  <c r="H59" i="4"/>
  <c r="H63" i="4"/>
  <c r="H49" i="4"/>
  <c r="H54" i="4"/>
  <c r="H60" i="4"/>
  <c r="H70" i="4"/>
  <c r="H50" i="4"/>
  <c r="H56" i="4"/>
  <c r="H61" i="4"/>
  <c r="H66" i="4"/>
  <c r="H52" i="4"/>
  <c r="H57" i="4"/>
  <c r="H62" i="4"/>
  <c r="H68" i="4"/>
  <c r="H71" i="4"/>
  <c r="H48" i="4"/>
  <c r="H69" i="4"/>
  <c r="H53" i="4"/>
  <c r="H64" i="4"/>
  <c r="H58" i="4"/>
  <c r="H55" i="4"/>
  <c r="H65" i="4"/>
  <c r="E50" i="4"/>
  <c r="E54" i="4"/>
  <c r="E58" i="4"/>
  <c r="E62" i="4"/>
  <c r="E66" i="4"/>
  <c r="E70" i="4"/>
  <c r="E71" i="4"/>
  <c r="E49" i="4"/>
  <c r="E60" i="4"/>
  <c r="E51" i="4"/>
  <c r="E56" i="4"/>
  <c r="E61" i="4"/>
  <c r="E52" i="4"/>
  <c r="E57" i="4"/>
  <c r="E63" i="4"/>
  <c r="E68" i="4"/>
  <c r="E64" i="4"/>
  <c r="E48" i="4"/>
  <c r="E69" i="4"/>
  <c r="E53" i="4"/>
  <c r="E59" i="4"/>
  <c r="E65" i="4"/>
  <c r="E55" i="4"/>
  <c r="E21" i="7"/>
  <c r="E18" i="4"/>
  <c r="B21" i="7"/>
  <c r="B18" i="4"/>
  <c r="D51" i="4"/>
  <c r="D59" i="4"/>
  <c r="D63" i="4"/>
  <c r="D48" i="4"/>
  <c r="D53" i="4"/>
  <c r="D58" i="4"/>
  <c r="D64" i="4"/>
  <c r="D69" i="4"/>
  <c r="D49" i="4"/>
  <c r="D54" i="4"/>
  <c r="D60" i="4"/>
  <c r="D70" i="4"/>
  <c r="D71" i="4"/>
  <c r="D50" i="4"/>
  <c r="D56" i="4"/>
  <c r="D61" i="4"/>
  <c r="D66" i="4"/>
  <c r="D62" i="4"/>
  <c r="D68" i="4"/>
  <c r="D57" i="4"/>
  <c r="D52" i="4"/>
  <c r="D65" i="4"/>
  <c r="D55" i="4"/>
  <c r="K48" i="4"/>
  <c r="K52" i="4"/>
  <c r="K56" i="4"/>
  <c r="K60" i="4"/>
  <c r="K64" i="4"/>
  <c r="K68" i="4"/>
  <c r="K49" i="4"/>
  <c r="K54" i="4"/>
  <c r="K59" i="4"/>
  <c r="K70" i="4"/>
  <c r="K71" i="4"/>
  <c r="K50" i="4"/>
  <c r="K61" i="4"/>
  <c r="K66" i="4"/>
  <c r="K51" i="4"/>
  <c r="K57" i="4"/>
  <c r="K62" i="4"/>
  <c r="K53" i="4"/>
  <c r="K58" i="4"/>
  <c r="K69" i="4"/>
  <c r="K63" i="4"/>
  <c r="K55" i="4"/>
  <c r="K65" i="4"/>
  <c r="H21" i="7"/>
  <c r="H18" i="4"/>
  <c r="F21" i="7"/>
  <c r="F18" i="4"/>
  <c r="F49" i="4"/>
  <c r="F53" i="4"/>
  <c r="F57" i="4"/>
  <c r="F61" i="4"/>
  <c r="F69" i="4"/>
  <c r="F51" i="4"/>
  <c r="F56" i="4"/>
  <c r="F62" i="4"/>
  <c r="F71" i="4"/>
  <c r="F52" i="4"/>
  <c r="F58" i="4"/>
  <c r="F63" i="4"/>
  <c r="F68" i="4"/>
  <c r="F48" i="4"/>
  <c r="F54" i="4"/>
  <c r="F59" i="4"/>
  <c r="F64" i="4"/>
  <c r="F70" i="4"/>
  <c r="F66" i="4"/>
  <c r="F50" i="4"/>
  <c r="F60" i="4"/>
  <c r="F55" i="4"/>
  <c r="F65" i="4"/>
  <c r="C48" i="4"/>
  <c r="C52" i="4"/>
  <c r="C56" i="4"/>
  <c r="C60" i="4"/>
  <c r="C64" i="4"/>
  <c r="C68" i="4"/>
  <c r="C51" i="4"/>
  <c r="C57" i="4"/>
  <c r="C62" i="4"/>
  <c r="C53" i="4"/>
  <c r="C58" i="4"/>
  <c r="C63" i="4"/>
  <c r="C69" i="4"/>
  <c r="C49" i="4"/>
  <c r="C54" i="4"/>
  <c r="C59" i="4"/>
  <c r="C70" i="4"/>
  <c r="C71" i="4"/>
  <c r="C61" i="4"/>
  <c r="C66" i="4"/>
  <c r="C50" i="4"/>
  <c r="C55" i="4"/>
  <c r="C65" i="4"/>
  <c r="D21" i="7"/>
  <c r="D18" i="4"/>
  <c r="J21" i="7"/>
  <c r="J18" i="4"/>
  <c r="J49" i="4"/>
  <c r="J53" i="4"/>
  <c r="J57" i="4"/>
  <c r="J61" i="4"/>
  <c r="J69" i="4"/>
  <c r="J52" i="4"/>
  <c r="J58" i="4"/>
  <c r="J63" i="4"/>
  <c r="J68" i="4"/>
  <c r="J48" i="4"/>
  <c r="J54" i="4"/>
  <c r="J59" i="4"/>
  <c r="J64" i="4"/>
  <c r="J70" i="4"/>
  <c r="J71" i="4"/>
  <c r="J50" i="4"/>
  <c r="J60" i="4"/>
  <c r="J66" i="4"/>
  <c r="J51" i="4"/>
  <c r="J56" i="4"/>
  <c r="J62" i="4"/>
  <c r="J55" i="4"/>
  <c r="J65" i="4"/>
  <c r="D67" i="4"/>
  <c r="C21" i="7"/>
  <c r="C18" i="4"/>
  <c r="I21" i="7"/>
  <c r="I18" i="4"/>
  <c r="K21" i="7"/>
  <c r="K18" i="4"/>
  <c r="H67" i="4"/>
  <c r="H26" i="3"/>
  <c r="H20" i="3"/>
  <c r="G20" i="4"/>
  <c r="H30" i="3"/>
  <c r="H21" i="3"/>
  <c r="H19" i="3"/>
  <c r="G48" i="4"/>
  <c r="G52" i="4"/>
  <c r="G56" i="4"/>
  <c r="G60" i="4"/>
  <c r="G64" i="4"/>
  <c r="G68" i="4"/>
  <c r="G53" i="4"/>
  <c r="G58" i="4"/>
  <c r="G63" i="4"/>
  <c r="G69" i="4"/>
  <c r="G49" i="4"/>
  <c r="G54" i="4"/>
  <c r="G59" i="4"/>
  <c r="G70" i="4"/>
  <c r="G50" i="4"/>
  <c r="G61" i="4"/>
  <c r="G66" i="4"/>
  <c r="G51" i="4"/>
  <c r="G57" i="4"/>
  <c r="G62" i="4"/>
  <c r="G71" i="4"/>
  <c r="G65" i="4"/>
  <c r="G55" i="4"/>
  <c r="B49" i="4"/>
  <c r="B53" i="4"/>
  <c r="B57" i="4"/>
  <c r="B61" i="4"/>
  <c r="B69" i="4"/>
  <c r="B50" i="4"/>
  <c r="B60" i="4"/>
  <c r="B66" i="4"/>
  <c r="B51" i="4"/>
  <c r="B56" i="4"/>
  <c r="B62" i="4"/>
  <c r="B52" i="4"/>
  <c r="B58" i="4"/>
  <c r="B63" i="4"/>
  <c r="B68" i="4"/>
  <c r="B59" i="4"/>
  <c r="B71" i="4"/>
  <c r="B64" i="4"/>
  <c r="B54" i="4"/>
  <c r="B48" i="4"/>
  <c r="B70" i="4"/>
  <c r="B55" i="4"/>
  <c r="B65" i="4"/>
  <c r="K67" i="4"/>
  <c r="I50" i="4"/>
  <c r="I54" i="4"/>
  <c r="I58" i="4"/>
  <c r="I62" i="4"/>
  <c r="I66" i="4"/>
  <c r="I70" i="4"/>
  <c r="I71" i="4"/>
  <c r="I51" i="4"/>
  <c r="I56" i="4"/>
  <c r="I61" i="4"/>
  <c r="I52" i="4"/>
  <c r="I57" i="4"/>
  <c r="I63" i="4"/>
  <c r="I68" i="4"/>
  <c r="I48" i="4"/>
  <c r="I53" i="4"/>
  <c r="I59" i="4"/>
  <c r="I64" i="4"/>
  <c r="I69" i="4"/>
  <c r="I49" i="4"/>
  <c r="I65" i="4"/>
  <c r="I60" i="4"/>
  <c r="I55" i="4"/>
  <c r="C2" i="6"/>
  <c r="N5" i="4"/>
  <c r="D2" i="6"/>
  <c r="M13" i="7"/>
  <c r="N17" i="3"/>
  <c r="L13" i="7"/>
  <c r="P6" i="7"/>
  <c r="O31" i="7"/>
  <c r="O7" i="7"/>
  <c r="O32" i="7"/>
  <c r="O7" i="4"/>
  <c r="O4" i="4"/>
  <c r="N15" i="7"/>
  <c r="N14" i="4" s="1"/>
  <c r="M15" i="7"/>
  <c r="M14" i="4" s="1"/>
  <c r="O11" i="7" l="1"/>
  <c r="O9" i="4" s="1"/>
  <c r="O13" i="4"/>
  <c r="O30" i="7"/>
  <c r="V9" i="7" s="1"/>
  <c r="U9" i="7"/>
  <c r="E4" i="6"/>
  <c r="O38" i="7"/>
  <c r="P10" i="3" s="1"/>
  <c r="O10" i="7"/>
  <c r="O8" i="4" s="1"/>
  <c r="O9" i="3"/>
  <c r="N44" i="7"/>
  <c r="N12" i="7"/>
  <c r="N10" i="4" s="1"/>
  <c r="N34" i="7"/>
  <c r="E2" i="6" s="1"/>
  <c r="E26" i="3"/>
  <c r="E20" i="3"/>
  <c r="D20" i="4"/>
  <c r="E30" i="3"/>
  <c r="E21" i="3"/>
  <c r="E19" i="3"/>
  <c r="F30" i="3"/>
  <c r="F21" i="3"/>
  <c r="F19" i="3"/>
  <c r="F26" i="3"/>
  <c r="F20" i="3"/>
  <c r="E20" i="4"/>
  <c r="L26" i="3"/>
  <c r="L20" i="3"/>
  <c r="K20" i="4"/>
  <c r="L30" i="3"/>
  <c r="L21" i="3"/>
  <c r="L19" i="3"/>
  <c r="F20" i="4"/>
  <c r="G30" i="3"/>
  <c r="G21" i="3"/>
  <c r="G19" i="3"/>
  <c r="G20" i="3"/>
  <c r="G26" i="3"/>
  <c r="I20" i="4"/>
  <c r="J30" i="3"/>
  <c r="J21" i="3"/>
  <c r="J19" i="3"/>
  <c r="J26" i="3"/>
  <c r="J20" i="3"/>
  <c r="J20" i="4"/>
  <c r="K30" i="3"/>
  <c r="K21" i="3"/>
  <c r="K19" i="3"/>
  <c r="K26" i="3"/>
  <c r="K20" i="3"/>
  <c r="I26" i="3"/>
  <c r="I20" i="3"/>
  <c r="H20" i="4"/>
  <c r="I30" i="3"/>
  <c r="I19" i="3"/>
  <c r="I21" i="3"/>
  <c r="B20" i="4"/>
  <c r="C26" i="3"/>
  <c r="C20" i="3"/>
  <c r="C19" i="3"/>
  <c r="C21" i="3"/>
  <c r="C30" i="3"/>
  <c r="D26" i="3"/>
  <c r="D20" i="3"/>
  <c r="C20" i="4"/>
  <c r="D30" i="3"/>
  <c r="D21" i="3"/>
  <c r="D19" i="3"/>
  <c r="O15" i="7"/>
  <c r="O14" i="4" s="1"/>
  <c r="N18" i="3"/>
  <c r="M12" i="4"/>
  <c r="O8" i="7"/>
  <c r="O5" i="4"/>
  <c r="O12" i="7"/>
  <c r="O10" i="4" s="1"/>
  <c r="P50" i="7"/>
  <c r="P17" i="4"/>
  <c r="P54" i="7"/>
  <c r="P31" i="7"/>
  <c r="P49" i="7"/>
  <c r="P30" i="7"/>
  <c r="Q8" i="3" s="1"/>
  <c r="P4" i="4"/>
  <c r="P13" i="4"/>
  <c r="P38" i="7"/>
  <c r="P55" i="7"/>
  <c r="P7" i="4"/>
  <c r="P32" i="7"/>
  <c r="P7" i="7"/>
  <c r="P5" i="4" s="1"/>
  <c r="P11" i="7"/>
  <c r="P9" i="4" s="1"/>
  <c r="P10" i="7"/>
  <c r="O17" i="3"/>
  <c r="N6" i="4"/>
  <c r="L12" i="4"/>
  <c r="M18" i="3"/>
  <c r="P15" i="7"/>
  <c r="P14" i="4" s="1"/>
  <c r="L17" i="7"/>
  <c r="L16" i="4" s="1"/>
  <c r="L19" i="7"/>
  <c r="M16" i="7"/>
  <c r="M17" i="7"/>
  <c r="O34" i="7" l="1"/>
  <c r="F2" i="6" s="1"/>
  <c r="P8" i="3"/>
  <c r="P9" i="3"/>
  <c r="O44" i="7"/>
  <c r="N13" i="7"/>
  <c r="O18" i="3" s="1"/>
  <c r="F4" i="6"/>
  <c r="N16" i="7"/>
  <c r="N15" i="4" s="1"/>
  <c r="M15" i="4"/>
  <c r="M19" i="7"/>
  <c r="M18" i="4" s="1"/>
  <c r="M16" i="4"/>
  <c r="P8" i="7"/>
  <c r="P6" i="4" s="1"/>
  <c r="P56" i="7"/>
  <c r="O13" i="7"/>
  <c r="O6" i="4"/>
  <c r="P17" i="3"/>
  <c r="N12" i="4"/>
  <c r="P44" i="7"/>
  <c r="G4" i="6"/>
  <c r="Q10" i="3"/>
  <c r="P12" i="7"/>
  <c r="P10" i="4" s="1"/>
  <c r="P8" i="4"/>
  <c r="P34" i="7"/>
  <c r="W9" i="7"/>
  <c r="Q9" i="3"/>
  <c r="L20" i="7"/>
  <c r="L19" i="4" s="1"/>
  <c r="L18" i="4"/>
  <c r="O16" i="7"/>
  <c r="O15" i="4" s="1"/>
  <c r="N17" i="7"/>
  <c r="M20" i="7" l="1"/>
  <c r="M21" i="7" s="1"/>
  <c r="Q17" i="3"/>
  <c r="N19" i="7"/>
  <c r="N18" i="4" s="1"/>
  <c r="N16" i="4"/>
  <c r="P18" i="3"/>
  <c r="O12" i="4"/>
  <c r="P13" i="7"/>
  <c r="Q5" i="3"/>
  <c r="G2" i="6"/>
  <c r="L21" i="7"/>
  <c r="N20" i="7"/>
  <c r="O17" i="7"/>
  <c r="P16" i="7"/>
  <c r="M19" i="4" l="1"/>
  <c r="P17" i="7"/>
  <c r="P16" i="4" s="1"/>
  <c r="P15" i="4"/>
  <c r="O19" i="7"/>
  <c r="O18" i="4" s="1"/>
  <c r="O16" i="4"/>
  <c r="P19" i="7"/>
  <c r="P18" i="4" s="1"/>
  <c r="Q18" i="3"/>
  <c r="P12" i="4"/>
  <c r="L70" i="7"/>
  <c r="M20" i="4"/>
  <c r="N26" i="3"/>
  <c r="N19" i="3"/>
  <c r="N21" i="7"/>
  <c r="N19" i="4"/>
  <c r="M19" i="3"/>
  <c r="L20" i="4"/>
  <c r="M26" i="3"/>
  <c r="O20" i="7" l="1"/>
  <c r="O21" i="7" s="1"/>
  <c r="M30" i="3"/>
  <c r="P20" i="7"/>
  <c r="P19" i="4" s="1"/>
  <c r="M21" i="3"/>
  <c r="M70" i="7"/>
  <c r="O26" i="3"/>
  <c r="N20" i="4"/>
  <c r="O19" i="3"/>
  <c r="O19" i="4" l="1"/>
  <c r="P21" i="7"/>
  <c r="Q26" i="3" s="1"/>
  <c r="Q19" i="3"/>
  <c r="P26" i="3"/>
  <c r="P19" i="3"/>
  <c r="O20" i="4"/>
  <c r="N70" i="7"/>
  <c r="N21" i="3"/>
  <c r="N30" i="3"/>
  <c r="P20" i="4" l="1"/>
  <c r="O30" i="3"/>
  <c r="O21" i="3"/>
  <c r="O70" i="7"/>
  <c r="P70" i="7" l="1"/>
  <c r="P21" i="3"/>
  <c r="P30" i="3"/>
  <c r="Q21" i="3" l="1"/>
  <c r="P58" i="7"/>
  <c r="P68" i="7" s="1"/>
  <c r="P72" i="7" s="1"/>
  <c r="Q30" i="3"/>
  <c r="P36" i="7"/>
  <c r="P67" i="4" l="1"/>
  <c r="P46" i="7"/>
  <c r="P49" i="4"/>
  <c r="P65" i="4"/>
  <c r="P48" i="4"/>
  <c r="P50" i="4"/>
  <c r="P58" i="4"/>
  <c r="P66" i="4"/>
  <c r="P53" i="4"/>
  <c r="P61" i="4"/>
  <c r="P56" i="4"/>
  <c r="P51" i="4"/>
  <c r="P59" i="4"/>
  <c r="P71" i="4"/>
  <c r="P52" i="4"/>
  <c r="P60" i="4"/>
  <c r="P68" i="4"/>
  <c r="P54" i="4"/>
  <c r="P62" i="4"/>
  <c r="P70" i="4"/>
  <c r="P64" i="4"/>
  <c r="P55" i="4"/>
  <c r="P63" i="4"/>
  <c r="P69" i="4"/>
  <c r="P57" i="4"/>
  <c r="P30" i="4" l="1"/>
  <c r="P28" i="4"/>
  <c r="P44" i="4"/>
  <c r="P38" i="4"/>
  <c r="P32" i="4"/>
  <c r="P43" i="4"/>
  <c r="P39" i="4"/>
  <c r="P45" i="4"/>
  <c r="P41" i="4"/>
  <c r="P40" i="4"/>
  <c r="P31" i="4"/>
  <c r="P36" i="4"/>
  <c r="Q14" i="3"/>
  <c r="Q28" i="3"/>
  <c r="P42" i="4"/>
  <c r="P29" i="4"/>
  <c r="Q27" i="3"/>
  <c r="Q11" i="3"/>
  <c r="P37" i="4"/>
  <c r="P33" i="4"/>
  <c r="P34" i="4"/>
  <c r="Q20" i="3"/>
  <c r="P35" i="4"/>
  <c r="P74" i="7"/>
  <c r="N49" i="7" l="1"/>
  <c r="N56" i="7" s="1"/>
  <c r="N36" i="7" s="1"/>
  <c r="O54" i="7"/>
  <c r="O50" i="7"/>
  <c r="N55" i="7"/>
  <c r="N50" i="7"/>
  <c r="M55" i="7"/>
  <c r="M54" i="7"/>
  <c r="M50" i="7"/>
  <c r="M49" i="7"/>
  <c r="O55" i="7"/>
  <c r="O49" i="7"/>
  <c r="N54" i="7"/>
  <c r="M56" i="7" l="1"/>
  <c r="O56" i="7"/>
  <c r="W10" i="7" s="1"/>
  <c r="W11" i="7" s="1"/>
  <c r="G3" i="6" s="1"/>
  <c r="G5" i="6" s="1"/>
  <c r="V10" i="7"/>
  <c r="V11" i="7" s="1"/>
  <c r="F3" i="6" s="1"/>
  <c r="F5" i="6" s="1"/>
  <c r="F7" i="6" s="1"/>
  <c r="O58" i="7"/>
  <c r="N46" i="7"/>
  <c r="M36" i="7"/>
  <c r="M58" i="7"/>
  <c r="N5" i="3"/>
  <c r="O5" i="3"/>
  <c r="N58" i="7"/>
  <c r="N68" i="7" s="1"/>
  <c r="U10" i="7"/>
  <c r="U11" i="7" s="1"/>
  <c r="E3" i="6" s="1"/>
  <c r="E5" i="6" s="1"/>
  <c r="E7" i="6" s="1"/>
  <c r="O36" i="7" l="1"/>
  <c r="P5" i="3"/>
  <c r="N72" i="7"/>
  <c r="O14" i="3"/>
  <c r="M46" i="7"/>
  <c r="O11" i="3"/>
  <c r="O20" i="3"/>
  <c r="N41" i="4"/>
  <c r="N32" i="4"/>
  <c r="N29" i="4"/>
  <c r="N31" i="4"/>
  <c r="O28" i="3"/>
  <c r="N37" i="4"/>
  <c r="N43" i="4"/>
  <c r="O27" i="3"/>
  <c r="N33" i="4"/>
  <c r="N36" i="4"/>
  <c r="N40" i="4"/>
  <c r="N42" i="4"/>
  <c r="N38" i="4"/>
  <c r="N28" i="4"/>
  <c r="N45" i="4"/>
  <c r="N34" i="4"/>
  <c r="N44" i="4"/>
  <c r="N39" i="4"/>
  <c r="N30" i="4"/>
  <c r="O46" i="7"/>
  <c r="O35" i="4" s="1"/>
  <c r="G6" i="6"/>
  <c r="G7" i="6" s="1"/>
  <c r="M68" i="7"/>
  <c r="N35" i="4"/>
  <c r="O68" i="7"/>
  <c r="M37" i="4" l="1"/>
  <c r="M42" i="4"/>
  <c r="N20" i="3"/>
  <c r="M44" i="4"/>
  <c r="M45" i="4"/>
  <c r="M32" i="4"/>
  <c r="M34" i="4"/>
  <c r="M33" i="4"/>
  <c r="N11" i="3"/>
  <c r="M38" i="4"/>
  <c r="M29" i="4"/>
  <c r="M30" i="4"/>
  <c r="N28" i="3"/>
  <c r="M31" i="4"/>
  <c r="M40" i="4"/>
  <c r="M39" i="4"/>
  <c r="M41" i="4"/>
  <c r="M43" i="4"/>
  <c r="M36" i="4"/>
  <c r="M28" i="4"/>
  <c r="N27" i="3"/>
  <c r="M35" i="4"/>
  <c r="N71" i="4"/>
  <c r="N64" i="4"/>
  <c r="N70" i="4"/>
  <c r="N68" i="4"/>
  <c r="N58" i="4"/>
  <c r="N59" i="4"/>
  <c r="N66" i="4"/>
  <c r="N62" i="4"/>
  <c r="N52" i="4"/>
  <c r="N60" i="4"/>
  <c r="N54" i="4"/>
  <c r="N53" i="4"/>
  <c r="N65" i="4"/>
  <c r="N69" i="4"/>
  <c r="N50" i="4"/>
  <c r="N56" i="4"/>
  <c r="N51" i="4"/>
  <c r="N48" i="4"/>
  <c r="N49" i="4"/>
  <c r="N61" i="4"/>
  <c r="N63" i="4"/>
  <c r="N55" i="4"/>
  <c r="N14" i="3"/>
  <c r="M72" i="7"/>
  <c r="O72" i="7"/>
  <c r="O74" i="7" s="1"/>
  <c r="P14" i="3"/>
  <c r="N57" i="4"/>
  <c r="N67" i="4"/>
  <c r="O33" i="4"/>
  <c r="O29" i="4"/>
  <c r="O34" i="4"/>
  <c r="O45" i="4"/>
  <c r="O40" i="4"/>
  <c r="P28" i="3"/>
  <c r="P11" i="3"/>
  <c r="O30" i="4"/>
  <c r="O28" i="4"/>
  <c r="O37" i="4"/>
  <c r="O31" i="4"/>
  <c r="O41" i="4"/>
  <c r="O39" i="4"/>
  <c r="P20" i="3"/>
  <c r="O42" i="4"/>
  <c r="P27" i="3"/>
  <c r="O43" i="4"/>
  <c r="O36" i="4"/>
  <c r="O44" i="4"/>
  <c r="O38" i="4"/>
  <c r="O32" i="4"/>
  <c r="N74" i="7"/>
  <c r="O60" i="4" l="1"/>
  <c r="O64" i="4"/>
  <c r="O50" i="4"/>
  <c r="O59" i="4"/>
  <c r="O53" i="4"/>
  <c r="O54" i="4"/>
  <c r="O68" i="4"/>
  <c r="O66" i="4"/>
  <c r="O58" i="4"/>
  <c r="O62" i="4"/>
  <c r="O63" i="4"/>
  <c r="O69" i="4"/>
  <c r="O61" i="4"/>
  <c r="O71" i="4"/>
  <c r="O70" i="4"/>
  <c r="O56" i="4"/>
  <c r="O52" i="4"/>
  <c r="O65" i="4"/>
  <c r="O51" i="4"/>
  <c r="O49" i="4"/>
  <c r="O48" i="4"/>
  <c r="O55" i="4"/>
  <c r="O57" i="4"/>
  <c r="M50" i="4"/>
  <c r="M56" i="4"/>
  <c r="M52" i="4"/>
  <c r="M68" i="4"/>
  <c r="M60" i="4"/>
  <c r="M54" i="4"/>
  <c r="M66" i="4"/>
  <c r="M58" i="4"/>
  <c r="M65" i="4"/>
  <c r="M69" i="4"/>
  <c r="M63" i="4"/>
  <c r="M51" i="4"/>
  <c r="M59" i="4"/>
  <c r="M49" i="4"/>
  <c r="M64" i="4"/>
  <c r="M71" i="4"/>
  <c r="M70" i="4"/>
  <c r="M61" i="4"/>
  <c r="M62" i="4"/>
  <c r="M48" i="4"/>
  <c r="M53" i="4"/>
  <c r="M55" i="4"/>
  <c r="M57" i="4"/>
  <c r="O67" i="4"/>
  <c r="M67" i="4"/>
  <c r="M74" i="7"/>
  <c r="L55" i="7"/>
  <c r="L54" i="7"/>
  <c r="L50" i="7"/>
  <c r="L49" i="7"/>
  <c r="L56" i="7" l="1"/>
  <c r="S10" i="7" s="1"/>
  <c r="S11" i="7" s="1"/>
  <c r="C3" i="6" s="1"/>
  <c r="C5" i="6" s="1"/>
  <c r="C7" i="6" s="1"/>
  <c r="M5" i="3" l="1"/>
  <c r="L36" i="7"/>
  <c r="L46" i="7" s="1"/>
  <c r="L35" i="4" s="1"/>
  <c r="L58" i="7"/>
  <c r="L68" i="7" s="1"/>
  <c r="L72" i="7" s="1"/>
  <c r="L57" i="4" s="1"/>
  <c r="T10" i="7"/>
  <c r="T11" i="7" s="1"/>
  <c r="D3" i="6" s="1"/>
  <c r="D5" i="6" s="1"/>
  <c r="D7" i="6" s="1"/>
  <c r="B9" i="6" s="1"/>
  <c r="B10" i="6" s="1"/>
  <c r="M14" i="3" l="1"/>
  <c r="L63" i="4"/>
  <c r="L59" i="4"/>
  <c r="L70" i="4"/>
  <c r="L58" i="4"/>
  <c r="L65" i="4"/>
  <c r="L48" i="4"/>
  <c r="L68" i="4"/>
  <c r="L64" i="4"/>
  <c r="L62" i="4"/>
  <c r="L71" i="4"/>
  <c r="L60" i="4"/>
  <c r="L50" i="4"/>
  <c r="L53" i="4"/>
  <c r="L52" i="4"/>
  <c r="L69" i="4"/>
  <c r="L51" i="4"/>
  <c r="L56" i="4"/>
  <c r="L66" i="4"/>
  <c r="L61" i="4"/>
  <c r="L49" i="4"/>
  <c r="L54" i="4"/>
  <c r="L55" i="4"/>
  <c r="L38" i="4"/>
  <c r="L28" i="4"/>
  <c r="M11" i="3"/>
  <c r="L42" i="4"/>
  <c r="L44" i="4"/>
  <c r="L31" i="4"/>
  <c r="L74" i="7"/>
  <c r="L36" i="4"/>
  <c r="L39" i="4"/>
  <c r="L45" i="4"/>
  <c r="L40" i="4"/>
  <c r="L32" i="4"/>
  <c r="L43" i="4"/>
  <c r="L30" i="4"/>
  <c r="M27" i="3"/>
  <c r="L29" i="4"/>
  <c r="L34" i="4"/>
  <c r="L41" i="4"/>
  <c r="L37" i="4"/>
  <c r="L33" i="4"/>
  <c r="M28" i="3"/>
  <c r="M20" i="3"/>
  <c r="L67" i="4"/>
</calcChain>
</file>

<file path=xl/sharedStrings.xml><?xml version="1.0" encoding="utf-8"?>
<sst xmlns="http://schemas.openxmlformats.org/spreadsheetml/2006/main" count="167" uniqueCount="115">
  <si>
    <t>Ratio Analysis</t>
  </si>
  <si>
    <t>Liquidity:</t>
  </si>
  <si>
    <t>Current ratio</t>
  </si>
  <si>
    <t>Activity:</t>
  </si>
  <si>
    <t>Receivables turnover</t>
  </si>
  <si>
    <t>Average Receivables Collection Period</t>
  </si>
  <si>
    <t>Fixed asset turnover</t>
  </si>
  <si>
    <t>Total asset turnover</t>
  </si>
  <si>
    <t xml:space="preserve">Debt Management: </t>
  </si>
  <si>
    <t>Debt Ratio</t>
  </si>
  <si>
    <t>Profitability:</t>
  </si>
  <si>
    <t>Gross margin</t>
  </si>
  <si>
    <t>Operating margin</t>
  </si>
  <si>
    <t>Profit margin on sales</t>
  </si>
  <si>
    <t>Return on assets</t>
  </si>
  <si>
    <t>Return on equity</t>
  </si>
  <si>
    <t>All ratios calculated on year end figures</t>
  </si>
  <si>
    <t>Dupont Analysis</t>
  </si>
  <si>
    <t>Profit Margin on Sales</t>
  </si>
  <si>
    <t>Total Asset Turnover</t>
  </si>
  <si>
    <t xml:space="preserve">Equity Multiplier </t>
  </si>
  <si>
    <t>ROE</t>
  </si>
  <si>
    <t>Gross Profit</t>
  </si>
  <si>
    <t>Interest Expense</t>
  </si>
  <si>
    <t>Net Income</t>
  </si>
  <si>
    <t>Average Shares Outstanding</t>
  </si>
  <si>
    <t>Total Current Assets</t>
  </si>
  <si>
    <t>Total Current Liabilities</t>
  </si>
  <si>
    <t>Long-Term Debt</t>
  </si>
  <si>
    <t>Other Non-Current Liabilities</t>
  </si>
  <si>
    <t>COGS/Sales</t>
  </si>
  <si>
    <t>SG&amp;A/Sales</t>
  </si>
  <si>
    <t>R&amp;D/Sales</t>
  </si>
  <si>
    <t>Revenue Growth Rate</t>
  </si>
  <si>
    <t>Interest Rate Earned on Surplus Cash</t>
  </si>
  <si>
    <t xml:space="preserve">Interest Rate Paid on Additional financing </t>
  </si>
  <si>
    <t>Tax Rate</t>
  </si>
  <si>
    <t>AR/Sales</t>
  </si>
  <si>
    <t>Net PPE/Sales</t>
  </si>
  <si>
    <t>Payables/Sales</t>
  </si>
  <si>
    <t>Accruals/Sales</t>
  </si>
  <si>
    <t>Forecast 2025</t>
  </si>
  <si>
    <t>Change in Non-Cash WC</t>
  </si>
  <si>
    <t>FCFE</t>
  </si>
  <si>
    <t>Terminal Value</t>
  </si>
  <si>
    <t>Estimated Value</t>
  </si>
  <si>
    <t>ERi​=Rf​+βi​(ERm​−Rf​)</t>
  </si>
  <si>
    <t xml:space="preserve">Expected return for the market </t>
  </si>
  <si>
    <t xml:space="preserve">Beta </t>
  </si>
  <si>
    <t>rf</t>
  </si>
  <si>
    <t xml:space="preserve">Require return </t>
  </si>
  <si>
    <t>Long Term Growth Rate</t>
  </si>
  <si>
    <t>Forecast 2026</t>
  </si>
  <si>
    <t>Forecast 2027</t>
  </si>
  <si>
    <t>Historic</t>
  </si>
  <si>
    <t>Forecast</t>
  </si>
  <si>
    <t>Unearned Revenue/Sales</t>
  </si>
  <si>
    <t>Surplus Cash</t>
  </si>
  <si>
    <t>Additional Funding Needed</t>
  </si>
  <si>
    <t>Cfs to Discount</t>
  </si>
  <si>
    <t>Change in Net PPE</t>
  </si>
  <si>
    <t>Revenues</t>
  </si>
  <si>
    <t>Total Revenues</t>
  </si>
  <si>
    <t>Cost Of Revenues</t>
  </si>
  <si>
    <t>Operating Expenses &amp; Income</t>
  </si>
  <si>
    <t>Selling General &amp; Admin Expenses</t>
  </si>
  <si>
    <t>R&amp;D Expenses</t>
  </si>
  <si>
    <t>Total Operating Expenses</t>
  </si>
  <si>
    <t>Operating Income</t>
  </si>
  <si>
    <t>Earnings from Continuing Operations</t>
  </si>
  <si>
    <t>Interest And Investment Income</t>
  </si>
  <si>
    <t>Net Interest Expenses</t>
  </si>
  <si>
    <t>Other Non Operating Income (Expenses)</t>
  </si>
  <si>
    <t>EBT, Incl. Unusual Items</t>
  </si>
  <si>
    <t>Income Tax Expense</t>
  </si>
  <si>
    <t>Total Cash &amp; ST Investments</t>
  </si>
  <si>
    <t>Total Receivables</t>
  </si>
  <si>
    <t>Inventory</t>
  </si>
  <si>
    <t>Prepaid Expenses</t>
  </si>
  <si>
    <t>Deferred Tax Assets Current</t>
  </si>
  <si>
    <t>Net Property, Plant &amp; Equipment</t>
  </si>
  <si>
    <t>Long-Term Investments</t>
  </si>
  <si>
    <t>Goodwill</t>
  </si>
  <si>
    <t>Other Intangibles</t>
  </si>
  <si>
    <t>Deferred Tax Assets</t>
  </si>
  <si>
    <t>Other Long-Term Assets</t>
  </si>
  <si>
    <t>Total Long Term Assets</t>
  </si>
  <si>
    <t>Total Asets</t>
  </si>
  <si>
    <t>Accounts Payable</t>
  </si>
  <si>
    <t>Accrued Expenses</t>
  </si>
  <si>
    <t>Current Portion of LT Debt</t>
  </si>
  <si>
    <t>Current Portion of Lease Obligations</t>
  </si>
  <si>
    <t>Current Income Taxes Payable</t>
  </si>
  <si>
    <t>Unearned Revenue, Current</t>
  </si>
  <si>
    <t>Other Current Liabilities</t>
  </si>
  <si>
    <t>Unearned Revenue Non-Current</t>
  </si>
  <si>
    <t>Pension &amp; Other Post-Retire. Benefits</t>
  </si>
  <si>
    <t>Def. Tax Liability, Non-Curr.</t>
  </si>
  <si>
    <t>Capital Leases</t>
  </si>
  <si>
    <t>Total Long-Term Liabilities</t>
  </si>
  <si>
    <t xml:space="preserve">Total Liabilities  </t>
  </si>
  <si>
    <t>Total Stockholders' Equity</t>
  </si>
  <si>
    <t>Total Liabilities And Equity</t>
  </si>
  <si>
    <t>Inventory/Sales</t>
  </si>
  <si>
    <t>Prepaid Expenses/Sales</t>
  </si>
  <si>
    <t>Other Current Liabilities/Sales</t>
  </si>
  <si>
    <t>Forecast 2028</t>
  </si>
  <si>
    <t>Forecast 2029</t>
  </si>
  <si>
    <t>Estimated Share Price</t>
  </si>
  <si>
    <t>Shares Outstanding</t>
  </si>
  <si>
    <t>Current Share Price</t>
  </si>
  <si>
    <t>check</t>
  </si>
  <si>
    <t>Change in NCCA</t>
  </si>
  <si>
    <t>Change in CL</t>
  </si>
  <si>
    <t>Change in NCWC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</si>
</sst>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$&quot;* #,##0_);_(&quot;$&quot;* \(#,##0\);_(&quot;$&quot;* &quot;-&quot;??_);_(@_)"/>
    <numFmt numFmtId="170" formatCode="_(* #,##0_);_(* \(#,##0\);_(* &quot;-&quot;??_);_(@_)"/>
    <numFmt numFmtId="171" formatCode="_(* #,##0.0000_);_(* \(#,##0.0000\);_(* &quot;-&quot;????_);_(@_)"/>
    <numFmt numFmtId="172" formatCode="0.0000000%"/>
    <numFmt numFmtId="173" formatCode="_-[$$-409]* #,##0_ ;_-[$$-409]* \-#,##0\ ;_-[$$-409]* &quot;-&quot;??_ ;_-@_ 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11111"/>
      <name val="Calibri"/>
      <family val="2"/>
      <scheme val="minor"/>
    </font>
    <font>
      <sz val="21"/>
      <color rgb="FF11111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3" fillId="0" borderId="0" xfId="0" applyFont="1"/>
    <xf numFmtId="166" fontId="0" fillId="2" borderId="0" xfId="0" applyNumberFormat="1" applyFill="1"/>
    <xf numFmtId="0" fontId="0" fillId="2" borderId="0" xfId="0" applyFill="1"/>
    <xf numFmtId="169" fontId="0" fillId="0" borderId="0" xfId="2" applyNumberFormat="1" applyFont="1"/>
    <xf numFmtId="170" fontId="0" fillId="0" borderId="0" xfId="3" applyNumberFormat="1" applyFont="1"/>
    <xf numFmtId="170" fontId="0" fillId="0" borderId="5" xfId="3" applyNumberFormat="1" applyFont="1" applyBorder="1"/>
    <xf numFmtId="14" fontId="0" fillId="0" borderId="0" xfId="0" applyNumberFormat="1"/>
    <xf numFmtId="3" fontId="0" fillId="0" borderId="0" xfId="0" applyNumberFormat="1"/>
    <xf numFmtId="168" fontId="3" fillId="2" borderId="2" xfId="0" applyNumberFormat="1" applyFont="1" applyFill="1" applyBorder="1"/>
    <xf numFmtId="168" fontId="3" fillId="2" borderId="0" xfId="0" applyNumberFormat="1" applyFont="1" applyFill="1"/>
    <xf numFmtId="168" fontId="3" fillId="2" borderId="5" xfId="0" applyNumberFormat="1" applyFont="1" applyFill="1" applyBorder="1"/>
    <xf numFmtId="10" fontId="3" fillId="2" borderId="0" xfId="1" applyNumberFormat="1" applyFont="1" applyFill="1" applyBorder="1"/>
    <xf numFmtId="10" fontId="3" fillId="2" borderId="5" xfId="1" applyNumberFormat="1" applyFont="1" applyFill="1" applyBorder="1"/>
    <xf numFmtId="0" fontId="3" fillId="2" borderId="0" xfId="0" applyFont="1" applyFill="1"/>
    <xf numFmtId="10" fontId="3" fillId="2" borderId="2" xfId="0" applyNumberFormat="1" applyFont="1" applyFill="1" applyBorder="1"/>
    <xf numFmtId="168" fontId="3" fillId="2" borderId="0" xfId="1" applyNumberFormat="1" applyFont="1" applyFill="1" applyBorder="1"/>
    <xf numFmtId="2" fontId="3" fillId="2" borderId="0" xfId="0" applyNumberFormat="1" applyFont="1" applyFill="1"/>
    <xf numFmtId="9" fontId="0" fillId="2" borderId="0" xfId="1" applyFont="1" applyFill="1" applyBorder="1"/>
    <xf numFmtId="0" fontId="5" fillId="2" borderId="0" xfId="0" applyFont="1" applyFill="1"/>
    <xf numFmtId="2" fontId="0" fillId="2" borderId="0" xfId="0" applyNumberFormat="1" applyFill="1"/>
    <xf numFmtId="166" fontId="0" fillId="2" borderId="0" xfId="1" applyNumberFormat="1" applyFont="1" applyFill="1" applyBorder="1"/>
    <xf numFmtId="9" fontId="0" fillId="2" borderId="0" xfId="2" applyNumberFormat="1" applyFont="1" applyFill="1" applyBorder="1"/>
    <xf numFmtId="17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68" fontId="0" fillId="0" borderId="5" xfId="3" applyFont="1" applyBorder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9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72" fontId="0" fillId="0" borderId="0" xfId="0" applyNumberFormat="1"/>
    <xf numFmtId="1" fontId="0" fillId="0" borderId="0" xfId="0" applyNumberFormat="1"/>
    <xf numFmtId="168" fontId="0" fillId="0" borderId="0" xfId="0" applyNumberFormat="1"/>
    <xf numFmtId="165" fontId="0" fillId="2" borderId="0" xfId="0" applyNumberFormat="1" applyFill="1"/>
    <xf numFmtId="164" fontId="0" fillId="2" borderId="0" xfId="0" applyNumberFormat="1" applyFill="1"/>
    <xf numFmtId="14" fontId="0" fillId="2" borderId="0" xfId="0" applyNumberFormat="1" applyFill="1"/>
    <xf numFmtId="0" fontId="3" fillId="0" borderId="7" xfId="0" applyFont="1" applyBorder="1"/>
    <xf numFmtId="14" fontId="0" fillId="4" borderId="0" xfId="0" applyNumberFormat="1" applyFill="1"/>
    <xf numFmtId="9" fontId="0" fillId="2" borderId="0" xfId="0" applyNumberFormat="1" applyFill="1"/>
    <xf numFmtId="3" fontId="0" fillId="2" borderId="0" xfId="0" applyNumberFormat="1" applyFill="1"/>
    <xf numFmtId="9" fontId="0" fillId="2" borderId="0" xfId="1" applyFont="1" applyFill="1" applyAlignment="1"/>
    <xf numFmtId="9" fontId="0" fillId="2" borderId="0" xfId="1" applyFont="1" applyFill="1"/>
    <xf numFmtId="9" fontId="1" fillId="2" borderId="0" xfId="1" applyFont="1" applyFill="1" applyBorder="1"/>
    <xf numFmtId="168" fontId="3" fillId="3" borderId="0" xfId="0" applyNumberFormat="1" applyFont="1" applyFill="1"/>
    <xf numFmtId="168" fontId="3" fillId="3" borderId="5" xfId="0" applyNumberFormat="1" applyFont="1" applyFill="1" applyBorder="1"/>
    <xf numFmtId="168" fontId="3" fillId="3" borderId="2" xfId="0" applyNumberFormat="1" applyFont="1" applyFill="1" applyBorder="1"/>
    <xf numFmtId="10" fontId="3" fillId="3" borderId="0" xfId="1" applyNumberFormat="1" applyFont="1" applyFill="1" applyBorder="1"/>
    <xf numFmtId="10" fontId="3" fillId="3" borderId="5" xfId="1" applyNumberFormat="1" applyFont="1" applyFill="1" applyBorder="1"/>
    <xf numFmtId="17" fontId="0" fillId="0" borderId="0" xfId="0" applyNumberFormat="1"/>
    <xf numFmtId="4" fontId="0" fillId="0" borderId="0" xfId="0" applyNumberFormat="1"/>
    <xf numFmtId="0" fontId="0" fillId="0" borderId="5" xfId="0" applyBorder="1"/>
    <xf numFmtId="17" fontId="0" fillId="0" borderId="5" xfId="0" applyNumberFormat="1" applyBorder="1" applyAlignment="1">
      <alignment horizontal="center"/>
    </xf>
    <xf numFmtId="0" fontId="0" fillId="3" borderId="0" xfId="0" applyFill="1"/>
    <xf numFmtId="0" fontId="0" fillId="3" borderId="5" xfId="0" applyFill="1" applyBorder="1"/>
    <xf numFmtId="17" fontId="0" fillId="3" borderId="5" xfId="0" applyNumberFormat="1" applyFill="1" applyBorder="1" applyAlignment="1">
      <alignment horizontal="center"/>
    </xf>
    <xf numFmtId="170" fontId="0" fillId="3" borderId="0" xfId="3" applyNumberFormat="1" applyFont="1" applyFill="1"/>
    <xf numFmtId="169" fontId="6" fillId="2" borderId="0" xfId="2" applyNumberFormat="1" applyFont="1" applyFill="1"/>
    <xf numFmtId="9" fontId="0" fillId="0" borderId="0" xfId="1" applyFont="1"/>
    <xf numFmtId="9" fontId="0" fillId="0" borderId="5" xfId="1" applyFont="1" applyBorder="1"/>
    <xf numFmtId="9" fontId="0" fillId="0" borderId="2" xfId="1" applyFont="1" applyBorder="1"/>
    <xf numFmtId="9" fontId="0" fillId="0" borderId="6" xfId="1" applyFont="1" applyBorder="1"/>
    <xf numFmtId="9" fontId="0" fillId="0" borderId="0" xfId="1" applyFont="1" applyBorder="1"/>
    <xf numFmtId="3" fontId="0" fillId="0" borderId="5" xfId="0" applyNumberFormat="1" applyBorder="1"/>
    <xf numFmtId="9" fontId="0" fillId="0" borderId="8" xfId="1" applyFont="1" applyBorder="1"/>
    <xf numFmtId="0" fontId="0" fillId="0" borderId="6" xfId="0" applyBorder="1"/>
    <xf numFmtId="3" fontId="0" fillId="0" borderId="6" xfId="0" applyNumberFormat="1" applyBorder="1"/>
    <xf numFmtId="10" fontId="3" fillId="3" borderId="2" xfId="0" applyNumberFormat="1" applyFont="1" applyFill="1" applyBorder="1"/>
    <xf numFmtId="168" fontId="3" fillId="3" borderId="0" xfId="1" applyNumberFormat="1" applyFont="1" applyFill="1" applyBorder="1"/>
    <xf numFmtId="2" fontId="3" fillId="3" borderId="0" xfId="0" applyNumberFormat="1" applyFont="1" applyFill="1"/>
    <xf numFmtId="0" fontId="3" fillId="3" borderId="0" xfId="0" applyFont="1" applyFill="1"/>
    <xf numFmtId="9" fontId="0" fillId="3" borderId="0" xfId="1" applyFont="1" applyFill="1"/>
    <xf numFmtId="9" fontId="0" fillId="3" borderId="5" xfId="1" applyFont="1" applyFill="1" applyBorder="1"/>
    <xf numFmtId="9" fontId="0" fillId="3" borderId="6" xfId="1" applyFont="1" applyFill="1" applyBorder="1"/>
    <xf numFmtId="173" fontId="6" fillId="0" borderId="0" xfId="0" applyNumberFormat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3" applyNumberFormat="1" applyFont="1"/>
    <xf numFmtId="3" fontId="0" fillId="0" borderId="5" xfId="3" applyNumberFormat="1" applyFont="1" applyBorder="1" applyAlignment="1">
      <alignment horizontal="center"/>
    </xf>
    <xf numFmtId="3" fontId="0" fillId="0" borderId="0" xfId="3" applyNumberFormat="1" applyFont="1" applyFill="1"/>
    <xf numFmtId="3" fontId="0" fillId="3" borderId="0" xfId="3" applyNumberFormat="1" applyFont="1" applyFill="1"/>
    <xf numFmtId="3" fontId="0" fillId="0" borderId="5" xfId="3" applyNumberFormat="1" applyFont="1" applyBorder="1"/>
    <xf numFmtId="3" fontId="0" fillId="3" borderId="5" xfId="3" applyNumberFormat="1" applyFont="1" applyFill="1" applyBorder="1"/>
    <xf numFmtId="3" fontId="0" fillId="0" borderId="9" xfId="3" applyNumberFormat="1" applyFont="1" applyBorder="1"/>
    <xf numFmtId="3" fontId="0" fillId="0" borderId="6" xfId="3" applyNumberFormat="1" applyFont="1" applyBorder="1"/>
    <xf numFmtId="3" fontId="0" fillId="3" borderId="6" xfId="3" applyNumberFormat="1" applyFont="1" applyFill="1" applyBorder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665888</xdr:colOff>
      <xdr:row>9</xdr:row>
      <xdr:rowOff>80963</xdr:rowOff>
    </xdr:from>
    <xdr:to>
      <xdr:col>7</xdr:col>
      <xdr:colOff>264714</xdr:colOff>
      <xdr:row>23</xdr:row>
      <xdr:rowOff>94078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85DAC-20E3-30F3-38C4-716503FFE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9413" y="1881188"/>
          <a:ext cx="5037601" cy="2975390"/>
        </a:xfrm>
        <a:prstGeom prst="rect">
          <a:avLst/>
        </a:prstGeom>
      </xdr:spPr>
    </xdr:pic>
    <xdr:clientData/>
  </xdr:twoCellAnchor>
  <xdr:twoCellAnchor editAs="oneCell">
    <xdr:from>
      <xdr:col>3</xdr:col>
      <xdr:colOff>641986</xdr:colOff>
      <xdr:row>24</xdr:row>
      <xdr:rowOff>80962</xdr:rowOff>
    </xdr:from>
    <xdr:to>
      <xdr:col>7</xdr:col>
      <xdr:colOff>284507</xdr:colOff>
      <xdr:row>50</xdr:row>
      <xdr:rowOff>136825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293AB3-8D2C-367C-7AE2-096BF293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5511" y="5043487"/>
          <a:ext cx="5081296" cy="5256513"/>
        </a:xfrm>
        <a:prstGeom prst="rect">
          <a:avLst/>
        </a:prstGeom>
      </xdr:spPr>
    </xdr:pic>
    <xdr:clientData/>
  </xdr:twoCellAnchor>
  <xdr:twoCellAnchor editAs="oneCell">
    <xdr:from>
      <xdr:col>3</xdr:col>
      <xdr:colOff>698221</xdr:colOff>
      <xdr:row>50</xdr:row>
      <xdr:rowOff>183649</xdr:rowOff>
    </xdr:from>
    <xdr:to>
      <xdr:col>7</xdr:col>
      <xdr:colOff>228600</xdr:colOff>
      <xdr:row>79</xdr:row>
      <xdr:rowOff>174755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56899C-C6FC-A8C4-5EC8-3D1DD381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1746" y="10346824"/>
          <a:ext cx="4969154" cy="57918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205740</xdr:colOff>
      <xdr:row>11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A73224-44A4-49E8-B4A7-309C718F5E43}"/>
            </a:ext>
          </a:extLst>
        </xdr:cNvPr>
        <xdr:cNvSpPr txBox="1"/>
      </xdr:nvSpPr>
      <xdr:spPr>
        <a:xfrm>
          <a:off x="670560" y="198120"/>
          <a:ext cx="7581900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</a:t>
          </a:r>
          <a:r>
            <a:rPr lang="en-IN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Assumptions: -</a:t>
          </a: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Revenue growth rate is increasing 5% each year from Jan 25 assumed 10% to Jan 29 as 30%. Revenue growth could increase considering the demand, sales, market trends.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Tax rate is assumed to increase by 1% each year. According to analyst of Morningstar and pec the tax rate for corporate is going increase up to 28% for fy24. Still, I considered 1% increase in tax rate per year cause tax rate can’t stay stable because of factors like tax reforms, growth, economy.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Net PPE/Sales is assumed at 20% cause if there is cash flow there will be investment in property. As you can see previous trend after a decrease in PPE there is an increase in pee (acquisition of property) for next year.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COGS. SG&amp;A, R&amp;D Sales figure are considered as per market trend. . Also while calculating the above factors the forecasted values are below 100% as the company is historical successful, So following previous trend. 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As there is increase in cash flow due to revenue growth, we have factored in interest rate on surplus cash and interest rate paid on additional financing. 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74"/>
  <sheetViews>
    <sheetView showGridLines="0" tabSelected="1" zoomScale="70" zoomScaleNormal="70" workbookViewId="0"/>
  </sheetViews>
  <sheetFormatPr defaultRowHeight="15.6" x14ac:dyDescent="0.3"/>
  <cols>
    <col min="1" max="1" width="30.19921875" style="87" bestFit="1" customWidth="1"/>
    <col min="2" max="5" width="10.19921875" style="87" bestFit="1" customWidth="1"/>
    <col min="6" max="6" width="10.3984375" style="87" customWidth="1"/>
    <col min="7" max="11" width="10.5" style="87" bestFit="1" customWidth="1"/>
    <col min="12" max="12" width="14.296875" style="87" bestFit="1" customWidth="1"/>
    <col min="13" max="16" width="14.5" style="87" bestFit="1" customWidth="1"/>
    <col min="17" max="17" width="8.796875" style="87"/>
    <col min="18" max="18" width="15.09765625" style="87" bestFit="1" customWidth="1"/>
    <col min="19" max="19" width="14.8984375" style="87" bestFit="1" customWidth="1"/>
    <col min="20" max="22" width="13.5" style="87" bestFit="1" customWidth="1"/>
    <col min="23" max="23" width="12.3984375" style="87" bestFit="1" customWidth="1"/>
    <col min="24" max="16384" width="8.796875" style="87"/>
  </cols>
  <sheetData>
    <row r="4" spans="1:23" x14ac:dyDescent="0.3">
      <c r="B4" s="88">
        <v>42005</v>
      </c>
      <c r="C4" s="88">
        <v>42370</v>
      </c>
      <c r="D4" s="88">
        <v>42736</v>
      </c>
      <c r="E4" s="88">
        <v>43101</v>
      </c>
      <c r="F4" s="88">
        <v>43466</v>
      </c>
      <c r="G4" s="88">
        <v>43831</v>
      </c>
      <c r="H4" s="88">
        <v>44197</v>
      </c>
      <c r="I4" s="88">
        <v>44562</v>
      </c>
      <c r="J4" s="88">
        <v>44927</v>
      </c>
      <c r="K4" s="88">
        <v>45292</v>
      </c>
      <c r="L4" s="88">
        <v>45658</v>
      </c>
      <c r="M4" s="88">
        <v>46023</v>
      </c>
      <c r="N4" s="88">
        <v>46388</v>
      </c>
      <c r="O4" s="88">
        <v>46753</v>
      </c>
      <c r="P4" s="88">
        <v>47119</v>
      </c>
    </row>
    <row r="5" spans="1:23" x14ac:dyDescent="0.3">
      <c r="A5" s="87" t="s">
        <v>61</v>
      </c>
    </row>
    <row r="6" spans="1:23" x14ac:dyDescent="0.3">
      <c r="A6" s="89" t="s">
        <v>62</v>
      </c>
      <c r="B6" s="87">
        <v>4682</v>
      </c>
      <c r="C6" s="87">
        <v>5010</v>
      </c>
      <c r="D6" s="87">
        <v>6910</v>
      </c>
      <c r="E6" s="87">
        <v>9714</v>
      </c>
      <c r="F6" s="87">
        <v>11716</v>
      </c>
      <c r="G6" s="87">
        <v>10918</v>
      </c>
      <c r="H6" s="87">
        <v>16675</v>
      </c>
      <c r="I6" s="87">
        <v>26914</v>
      </c>
      <c r="J6" s="87">
        <v>26974</v>
      </c>
      <c r="K6" s="87">
        <v>60922</v>
      </c>
      <c r="L6" s="90">
        <f>K6*(1+'Forecast Assumptions'!L3)</f>
        <v>67014.200000000012</v>
      </c>
      <c r="M6" s="90">
        <f>L6*(1+'Forecast Assumptions'!M3)</f>
        <v>77066.33</v>
      </c>
      <c r="N6" s="90">
        <f>M6*(1+'Forecast Assumptions'!N3)</f>
        <v>92479.596000000005</v>
      </c>
      <c r="O6" s="90">
        <f>N6*(1+'Forecast Assumptions'!O3)</f>
        <v>115599.49500000001</v>
      </c>
      <c r="P6" s="90">
        <f>O6*(1+'Forecast Assumptions'!P3)</f>
        <v>150279.34350000002</v>
      </c>
    </row>
    <row r="7" spans="1:23" x14ac:dyDescent="0.3">
      <c r="A7" s="89" t="s">
        <v>63</v>
      </c>
      <c r="B7" s="91">
        <v>2083</v>
      </c>
      <c r="C7" s="91">
        <v>2199</v>
      </c>
      <c r="D7" s="91">
        <v>2847</v>
      </c>
      <c r="E7" s="91">
        <v>3892</v>
      </c>
      <c r="F7" s="91">
        <v>4545</v>
      </c>
      <c r="G7" s="91">
        <v>4150</v>
      </c>
      <c r="H7" s="91">
        <v>6118</v>
      </c>
      <c r="I7" s="91">
        <v>9439</v>
      </c>
      <c r="J7" s="91">
        <v>11618</v>
      </c>
      <c r="K7" s="91">
        <v>16621</v>
      </c>
      <c r="L7" s="92">
        <f>L6*'Forecast Assumptions'!L4</f>
        <v>23454.97</v>
      </c>
      <c r="M7" s="92">
        <f>M6*'Forecast Assumptions'!M4</f>
        <v>26973.215499999998</v>
      </c>
      <c r="N7" s="92">
        <f>N6*'Forecast Assumptions'!N4</f>
        <v>32367.8586</v>
      </c>
      <c r="O7" s="92">
        <f>O6*'Forecast Assumptions'!O4</f>
        <v>40459.823250000001</v>
      </c>
      <c r="P7" s="92">
        <f>P6*'Forecast Assumptions'!P4</f>
        <v>52597.770225</v>
      </c>
    </row>
    <row r="8" spans="1:23" x14ac:dyDescent="0.3">
      <c r="A8" s="89" t="s">
        <v>22</v>
      </c>
      <c r="B8" s="87">
        <f>B6-B7</f>
        <v>2599</v>
      </c>
      <c r="C8" s="87">
        <f t="shared" ref="C8:K8" si="0">C6-C7</f>
        <v>2811</v>
      </c>
      <c r="D8" s="87">
        <f t="shared" si="0"/>
        <v>4063</v>
      </c>
      <c r="E8" s="87">
        <f t="shared" si="0"/>
        <v>5822</v>
      </c>
      <c r="F8" s="87">
        <f t="shared" si="0"/>
        <v>7171</v>
      </c>
      <c r="G8" s="87">
        <f t="shared" si="0"/>
        <v>6768</v>
      </c>
      <c r="H8" s="87">
        <f t="shared" si="0"/>
        <v>10557</v>
      </c>
      <c r="I8" s="87">
        <f t="shared" si="0"/>
        <v>17475</v>
      </c>
      <c r="J8" s="87">
        <f t="shared" si="0"/>
        <v>15356</v>
      </c>
      <c r="K8" s="87">
        <f t="shared" si="0"/>
        <v>44301</v>
      </c>
      <c r="L8" s="90">
        <f>L6-L7</f>
        <v>43559.23000000001</v>
      </c>
      <c r="M8" s="90">
        <f t="shared" ref="M8:P8" si="1">M6-M7</f>
        <v>50093.114500000003</v>
      </c>
      <c r="N8" s="90">
        <f t="shared" si="1"/>
        <v>60111.737400000005</v>
      </c>
      <c r="O8" s="90">
        <f t="shared" si="1"/>
        <v>75139.671750000009</v>
      </c>
      <c r="P8" s="90">
        <f t="shared" si="1"/>
        <v>97681.573275000017</v>
      </c>
      <c r="R8" s="93"/>
      <c r="S8" s="93">
        <v>2025</v>
      </c>
      <c r="T8" s="93">
        <v>2026</v>
      </c>
      <c r="U8" s="93">
        <v>2027</v>
      </c>
      <c r="V8" s="93">
        <v>2028</v>
      </c>
      <c r="W8" s="93">
        <v>2029</v>
      </c>
    </row>
    <row r="9" spans="1:23" x14ac:dyDescent="0.3">
      <c r="A9" s="89" t="s">
        <v>64</v>
      </c>
      <c r="L9" s="90"/>
      <c r="M9" s="90"/>
      <c r="N9" s="90"/>
      <c r="O9" s="90"/>
      <c r="P9" s="90"/>
      <c r="R9" s="93" t="s">
        <v>112</v>
      </c>
      <c r="S9" s="93">
        <f>(L30+L31+L32+L33)-(K30+K31+K32+K33)</f>
        <v>1743.260000000002</v>
      </c>
      <c r="T9" s="93">
        <f t="shared" ref="T9:W9" si="2">(M30+M31+M32+M33)-(L30+L31+L32+L33)</f>
        <v>3015.6389999999992</v>
      </c>
      <c r="U9" s="93">
        <f t="shared" si="2"/>
        <v>4623.979800000001</v>
      </c>
      <c r="V9" s="93">
        <f t="shared" si="2"/>
        <v>6935.9696999999978</v>
      </c>
      <c r="W9" s="93">
        <f t="shared" si="2"/>
        <v>10403.954550000002</v>
      </c>
    </row>
    <row r="10" spans="1:23" x14ac:dyDescent="0.3">
      <c r="A10" s="89" t="s">
        <v>65</v>
      </c>
      <c r="B10" s="87">
        <v>480</v>
      </c>
      <c r="C10" s="87">
        <v>602</v>
      </c>
      <c r="D10" s="87">
        <v>663</v>
      </c>
      <c r="E10" s="87">
        <v>815</v>
      </c>
      <c r="F10" s="87">
        <v>991</v>
      </c>
      <c r="G10" s="87">
        <v>1093</v>
      </c>
      <c r="H10" s="87">
        <v>1912</v>
      </c>
      <c r="I10" s="87">
        <v>2166</v>
      </c>
      <c r="J10" s="87">
        <v>2440</v>
      </c>
      <c r="K10" s="87">
        <v>2654</v>
      </c>
      <c r="L10" s="90">
        <f>L6*'Forecast Assumptions'!L5</f>
        <v>6701.4200000000019</v>
      </c>
      <c r="M10" s="90">
        <f>M6*'Forecast Assumptions'!M5</f>
        <v>7706.6330000000007</v>
      </c>
      <c r="N10" s="90">
        <f>N6*'Forecast Assumptions'!N5</f>
        <v>9247.9596000000001</v>
      </c>
      <c r="O10" s="90">
        <f>O6*'Forecast Assumptions'!O5</f>
        <v>11559.949500000002</v>
      </c>
      <c r="P10" s="90">
        <f>P6*'Forecast Assumptions'!P5</f>
        <v>15027.934350000003</v>
      </c>
      <c r="R10" s="93" t="s">
        <v>113</v>
      </c>
      <c r="S10" s="93">
        <f>L56-K56</f>
        <v>7195169.5000000009</v>
      </c>
      <c r="T10" s="93">
        <f t="shared" ref="T10:W10" si="3">M56-L56</f>
        <v>7567020.0833333349</v>
      </c>
      <c r="U10" s="93">
        <f t="shared" si="3"/>
        <v>3724872.6166666634</v>
      </c>
      <c r="V10" s="93">
        <f t="shared" si="3"/>
        <v>8477296.3000000007</v>
      </c>
      <c r="W10" s="93">
        <f t="shared" si="3"/>
        <v>577997.47500000149</v>
      </c>
    </row>
    <row r="11" spans="1:23" x14ac:dyDescent="0.3">
      <c r="A11" s="89" t="s">
        <v>66</v>
      </c>
      <c r="B11" s="91">
        <v>1360</v>
      </c>
      <c r="C11" s="91">
        <v>1331</v>
      </c>
      <c r="D11" s="91">
        <v>1463</v>
      </c>
      <c r="E11" s="91">
        <v>1797</v>
      </c>
      <c r="F11" s="91">
        <v>2376</v>
      </c>
      <c r="G11" s="91">
        <v>2829</v>
      </c>
      <c r="H11" s="91">
        <v>3924</v>
      </c>
      <c r="I11" s="91">
        <v>5268</v>
      </c>
      <c r="J11" s="91">
        <v>7339</v>
      </c>
      <c r="K11" s="91">
        <v>8675</v>
      </c>
      <c r="L11" s="92">
        <f>L6*'Forecast Assumptions'!L6</f>
        <v>13402.840000000004</v>
      </c>
      <c r="M11" s="92">
        <f>M6*'Forecast Assumptions'!M6</f>
        <v>15413.266000000001</v>
      </c>
      <c r="N11" s="92">
        <f>N6*'Forecast Assumptions'!N6</f>
        <v>18495.9192</v>
      </c>
      <c r="O11" s="92">
        <f>O6*'Forecast Assumptions'!O6</f>
        <v>23119.899000000005</v>
      </c>
      <c r="P11" s="92">
        <f>P6*'Forecast Assumptions'!P6</f>
        <v>30055.868700000006</v>
      </c>
      <c r="R11" s="93" t="s">
        <v>114</v>
      </c>
      <c r="S11" s="93">
        <f>S9-S10</f>
        <v>-7193426.2400000012</v>
      </c>
      <c r="T11" s="93">
        <f t="shared" ref="T11:W11" si="4">T9-T10</f>
        <v>-7564004.4443333345</v>
      </c>
      <c r="U11" s="93">
        <f t="shared" si="4"/>
        <v>-3720248.6368666636</v>
      </c>
      <c r="V11" s="93">
        <f t="shared" si="4"/>
        <v>-8470360.3303000014</v>
      </c>
      <c r="W11" s="93">
        <f t="shared" si="4"/>
        <v>-567593.52045000147</v>
      </c>
    </row>
    <row r="12" spans="1:23" x14ac:dyDescent="0.3">
      <c r="A12" s="89" t="s">
        <v>67</v>
      </c>
      <c r="B12" s="87">
        <f>B10+B11</f>
        <v>1840</v>
      </c>
      <c r="C12" s="87">
        <f t="shared" ref="C12:K12" si="5">C10+C11</f>
        <v>1933</v>
      </c>
      <c r="D12" s="87">
        <f t="shared" si="5"/>
        <v>2126</v>
      </c>
      <c r="E12" s="87">
        <f t="shared" si="5"/>
        <v>2612</v>
      </c>
      <c r="F12" s="87">
        <f t="shared" si="5"/>
        <v>3367</v>
      </c>
      <c r="G12" s="87">
        <f t="shared" si="5"/>
        <v>3922</v>
      </c>
      <c r="H12" s="87">
        <f t="shared" si="5"/>
        <v>5836</v>
      </c>
      <c r="I12" s="87">
        <f t="shared" si="5"/>
        <v>7434</v>
      </c>
      <c r="J12" s="87">
        <f t="shared" si="5"/>
        <v>9779</v>
      </c>
      <c r="K12" s="87">
        <f t="shared" si="5"/>
        <v>11329</v>
      </c>
      <c r="L12" s="90">
        <f>L10+L11</f>
        <v>20104.260000000006</v>
      </c>
      <c r="M12" s="90">
        <f t="shared" ref="M12:P12" si="6">M10+M11</f>
        <v>23119.899000000001</v>
      </c>
      <c r="N12" s="90">
        <f t="shared" si="6"/>
        <v>27743.878799999999</v>
      </c>
      <c r="O12" s="90">
        <f t="shared" si="6"/>
        <v>34679.848500000007</v>
      </c>
      <c r="P12" s="90">
        <f t="shared" si="6"/>
        <v>45083.80305000001</v>
      </c>
    </row>
    <row r="13" spans="1:23" x14ac:dyDescent="0.3">
      <c r="A13" s="89" t="s">
        <v>68</v>
      </c>
      <c r="B13" s="87">
        <f>B8-B12</f>
        <v>759</v>
      </c>
      <c r="C13" s="87">
        <f t="shared" ref="C13:K13" si="7">C8-C12</f>
        <v>878</v>
      </c>
      <c r="D13" s="87">
        <f t="shared" si="7"/>
        <v>1937</v>
      </c>
      <c r="E13" s="87">
        <f t="shared" si="7"/>
        <v>3210</v>
      </c>
      <c r="F13" s="87">
        <f t="shared" si="7"/>
        <v>3804</v>
      </c>
      <c r="G13" s="87">
        <f t="shared" si="7"/>
        <v>2846</v>
      </c>
      <c r="H13" s="87">
        <f t="shared" si="7"/>
        <v>4721</v>
      </c>
      <c r="I13" s="87">
        <f t="shared" si="7"/>
        <v>10041</v>
      </c>
      <c r="J13" s="87">
        <f t="shared" si="7"/>
        <v>5577</v>
      </c>
      <c r="K13" s="87">
        <f t="shared" si="7"/>
        <v>32972</v>
      </c>
      <c r="L13" s="90">
        <f>L8-L12</f>
        <v>23454.970000000005</v>
      </c>
      <c r="M13" s="90">
        <f t="shared" ref="M13:P13" si="8">M8-M12</f>
        <v>26973.215500000002</v>
      </c>
      <c r="N13" s="90">
        <f t="shared" si="8"/>
        <v>32367.858600000007</v>
      </c>
      <c r="O13" s="90">
        <f t="shared" si="8"/>
        <v>40459.823250000001</v>
      </c>
      <c r="P13" s="90">
        <f t="shared" si="8"/>
        <v>52597.770225000007</v>
      </c>
    </row>
    <row r="14" spans="1:23" x14ac:dyDescent="0.3">
      <c r="A14" s="89" t="s">
        <v>69</v>
      </c>
      <c r="L14" s="90"/>
      <c r="M14" s="90"/>
      <c r="N14" s="90"/>
      <c r="O14" s="90"/>
      <c r="P14" s="90"/>
    </row>
    <row r="15" spans="1:23" x14ac:dyDescent="0.3">
      <c r="A15" s="89" t="s">
        <v>23</v>
      </c>
      <c r="B15" s="87">
        <v>-46</v>
      </c>
      <c r="C15" s="87">
        <v>-47</v>
      </c>
      <c r="D15" s="87">
        <v>-58</v>
      </c>
      <c r="E15" s="87">
        <v>-61</v>
      </c>
      <c r="F15" s="87">
        <v>-58</v>
      </c>
      <c r="G15" s="87">
        <v>-52</v>
      </c>
      <c r="H15" s="87">
        <v>-184</v>
      </c>
      <c r="I15" s="87">
        <v>-236</v>
      </c>
      <c r="J15" s="87">
        <v>-262</v>
      </c>
      <c r="K15" s="87">
        <v>-257</v>
      </c>
      <c r="L15" s="90">
        <f>$K$15</f>
        <v>-257</v>
      </c>
      <c r="M15" s="90">
        <f t="shared" ref="M15:P15" si="9">L15</f>
        <v>-257</v>
      </c>
      <c r="N15" s="90">
        <f t="shared" si="9"/>
        <v>-257</v>
      </c>
      <c r="O15" s="90">
        <f t="shared" si="9"/>
        <v>-257</v>
      </c>
      <c r="P15" s="90">
        <f t="shared" si="9"/>
        <v>-257</v>
      </c>
    </row>
    <row r="16" spans="1:23" x14ac:dyDescent="0.3">
      <c r="A16" s="89" t="s">
        <v>70</v>
      </c>
      <c r="B16" s="91">
        <v>28</v>
      </c>
      <c r="C16" s="91">
        <v>39</v>
      </c>
      <c r="D16" s="91">
        <v>54</v>
      </c>
      <c r="E16" s="91">
        <v>69</v>
      </c>
      <c r="F16" s="91">
        <v>136</v>
      </c>
      <c r="G16" s="91">
        <v>178</v>
      </c>
      <c r="H16" s="91">
        <v>57</v>
      </c>
      <c r="I16" s="91">
        <v>29</v>
      </c>
      <c r="J16" s="91">
        <v>267</v>
      </c>
      <c r="K16" s="91">
        <v>866</v>
      </c>
      <c r="L16" s="92">
        <v>866</v>
      </c>
      <c r="M16" s="92">
        <f t="shared" ref="M16:P16" si="10">L16</f>
        <v>866</v>
      </c>
      <c r="N16" s="92">
        <f t="shared" si="10"/>
        <v>866</v>
      </c>
      <c r="O16" s="92">
        <f t="shared" si="10"/>
        <v>866</v>
      </c>
      <c r="P16" s="92">
        <f t="shared" si="10"/>
        <v>866</v>
      </c>
    </row>
    <row r="17" spans="1:16" x14ac:dyDescent="0.3">
      <c r="A17" s="89" t="s">
        <v>71</v>
      </c>
      <c r="B17" s="87">
        <f>B15+B16</f>
        <v>-18</v>
      </c>
      <c r="C17" s="87">
        <f t="shared" ref="C17:K17" si="11">C15+C16</f>
        <v>-8</v>
      </c>
      <c r="D17" s="87">
        <f t="shared" si="11"/>
        <v>-4</v>
      </c>
      <c r="E17" s="87">
        <f t="shared" si="11"/>
        <v>8</v>
      </c>
      <c r="F17" s="87">
        <f t="shared" si="11"/>
        <v>78</v>
      </c>
      <c r="G17" s="87">
        <f t="shared" si="11"/>
        <v>126</v>
      </c>
      <c r="H17" s="87">
        <f t="shared" si="11"/>
        <v>-127</v>
      </c>
      <c r="I17" s="87">
        <f t="shared" si="11"/>
        <v>-207</v>
      </c>
      <c r="J17" s="87">
        <f t="shared" si="11"/>
        <v>5</v>
      </c>
      <c r="K17" s="87">
        <f t="shared" si="11"/>
        <v>609</v>
      </c>
      <c r="L17" s="90">
        <f>L15+L16</f>
        <v>609</v>
      </c>
      <c r="M17" s="90">
        <f t="shared" ref="M17:P17" si="12">M15+M16</f>
        <v>609</v>
      </c>
      <c r="N17" s="90">
        <f t="shared" si="12"/>
        <v>609</v>
      </c>
      <c r="O17" s="90">
        <f t="shared" si="12"/>
        <v>609</v>
      </c>
      <c r="P17" s="90">
        <f t="shared" si="12"/>
        <v>609</v>
      </c>
    </row>
    <row r="18" spans="1:16" x14ac:dyDescent="0.3">
      <c r="A18" s="89" t="s">
        <v>72</v>
      </c>
      <c r="B18" s="91">
        <v>14</v>
      </c>
      <c r="C18" s="91">
        <v>4</v>
      </c>
      <c r="D18" s="91">
        <v>-4</v>
      </c>
      <c r="E18" s="91">
        <v>-22</v>
      </c>
      <c r="F18" s="91">
        <v>14</v>
      </c>
      <c r="G18" s="91">
        <v>0</v>
      </c>
      <c r="H18" s="91">
        <v>4</v>
      </c>
      <c r="I18" s="91">
        <v>7</v>
      </c>
      <c r="J18" s="91">
        <v>-3</v>
      </c>
      <c r="K18" s="91">
        <v>-1</v>
      </c>
      <c r="L18" s="92">
        <v>0</v>
      </c>
      <c r="M18" s="92">
        <f>L18</f>
        <v>0</v>
      </c>
      <c r="N18" s="92">
        <f t="shared" ref="N18:P18" si="13">M18</f>
        <v>0</v>
      </c>
      <c r="O18" s="92">
        <f t="shared" si="13"/>
        <v>0</v>
      </c>
      <c r="P18" s="92">
        <f t="shared" si="13"/>
        <v>0</v>
      </c>
    </row>
    <row r="19" spans="1:16" x14ac:dyDescent="0.3">
      <c r="A19" s="89" t="s">
        <v>73</v>
      </c>
      <c r="B19" s="87">
        <f>B13+B17+B18</f>
        <v>755</v>
      </c>
      <c r="C19" s="87">
        <f t="shared" ref="C19:K19" si="14">C13+C17+C18</f>
        <v>874</v>
      </c>
      <c r="D19" s="87">
        <f t="shared" si="14"/>
        <v>1929</v>
      </c>
      <c r="E19" s="87">
        <f t="shared" si="14"/>
        <v>3196</v>
      </c>
      <c r="F19" s="87">
        <f t="shared" si="14"/>
        <v>3896</v>
      </c>
      <c r="G19" s="87">
        <f t="shared" si="14"/>
        <v>2972</v>
      </c>
      <c r="H19" s="87">
        <f t="shared" si="14"/>
        <v>4598</v>
      </c>
      <c r="I19" s="87">
        <f t="shared" si="14"/>
        <v>9841</v>
      </c>
      <c r="J19" s="87">
        <f t="shared" si="14"/>
        <v>5579</v>
      </c>
      <c r="K19" s="87">
        <f t="shared" si="14"/>
        <v>33580</v>
      </c>
      <c r="L19" s="90">
        <f>L13+L17</f>
        <v>24063.970000000005</v>
      </c>
      <c r="M19" s="90">
        <f t="shared" ref="M19:P19" si="15">M13+M17</f>
        <v>27582.215500000002</v>
      </c>
      <c r="N19" s="90">
        <f t="shared" si="15"/>
        <v>32976.858600000007</v>
      </c>
      <c r="O19" s="90">
        <f t="shared" si="15"/>
        <v>41068.823250000001</v>
      </c>
      <c r="P19" s="90">
        <f t="shared" si="15"/>
        <v>53206.770225000007</v>
      </c>
    </row>
    <row r="20" spans="1:16" x14ac:dyDescent="0.3">
      <c r="A20" s="89" t="s">
        <v>74</v>
      </c>
      <c r="B20" s="91">
        <v>124</v>
      </c>
      <c r="C20" s="91">
        <v>260</v>
      </c>
      <c r="D20" s="91">
        <v>263</v>
      </c>
      <c r="E20" s="91">
        <v>149</v>
      </c>
      <c r="F20" s="91">
        <v>-245</v>
      </c>
      <c r="G20" s="91">
        <v>176</v>
      </c>
      <c r="H20" s="91">
        <v>266</v>
      </c>
      <c r="I20" s="91">
        <v>89</v>
      </c>
      <c r="J20" s="91">
        <v>1211</v>
      </c>
      <c r="K20" s="91">
        <v>3820</v>
      </c>
      <c r="L20" s="90">
        <f>'Financial Statements'!L19*'Forecast Assumptions'!L9</f>
        <v>5053.4337000000005</v>
      </c>
      <c r="M20" s="90">
        <f>'Financial Statements'!M19*'Forecast Assumptions'!M9</f>
        <v>6068.0874100000001</v>
      </c>
      <c r="N20" s="90">
        <f>'Financial Statements'!N19*'Forecast Assumptions'!N9</f>
        <v>7584.6774780000023</v>
      </c>
      <c r="O20" s="90">
        <f>'Financial Statements'!O19*'Forecast Assumptions'!O9</f>
        <v>9856.5175799999997</v>
      </c>
      <c r="P20" s="90">
        <f>'Financial Statements'!P19*'Forecast Assumptions'!P9</f>
        <v>13301.692556250002</v>
      </c>
    </row>
    <row r="21" spans="1:16" ht="16.2" thickBot="1" x14ac:dyDescent="0.35">
      <c r="A21" s="89" t="s">
        <v>24</v>
      </c>
      <c r="B21" s="94">
        <f>B19-B20</f>
        <v>631</v>
      </c>
      <c r="C21" s="94">
        <f t="shared" ref="C21:K21" si="16">C19-C20</f>
        <v>614</v>
      </c>
      <c r="D21" s="94">
        <f t="shared" si="16"/>
        <v>1666</v>
      </c>
      <c r="E21" s="94">
        <f t="shared" si="16"/>
        <v>3047</v>
      </c>
      <c r="F21" s="94">
        <f t="shared" si="16"/>
        <v>4141</v>
      </c>
      <c r="G21" s="94">
        <f t="shared" si="16"/>
        <v>2796</v>
      </c>
      <c r="H21" s="94">
        <f t="shared" si="16"/>
        <v>4332</v>
      </c>
      <c r="I21" s="94">
        <f t="shared" si="16"/>
        <v>9752</v>
      </c>
      <c r="J21" s="94">
        <f t="shared" si="16"/>
        <v>4368</v>
      </c>
      <c r="K21" s="94">
        <f t="shared" si="16"/>
        <v>29760</v>
      </c>
      <c r="L21" s="95">
        <f>L19-L20</f>
        <v>19010.536300000003</v>
      </c>
      <c r="M21" s="95">
        <f t="shared" ref="M21:P21" si="17">M19-M20</f>
        <v>21514.128090000002</v>
      </c>
      <c r="N21" s="95">
        <f t="shared" si="17"/>
        <v>25392.181122000005</v>
      </c>
      <c r="O21" s="95">
        <f t="shared" si="17"/>
        <v>31212.305670000002</v>
      </c>
      <c r="P21" s="95">
        <f t="shared" si="17"/>
        <v>39905.077668750004</v>
      </c>
    </row>
    <row r="22" spans="1:16" ht="16.2" thickTop="1" x14ac:dyDescent="0.3"/>
    <row r="27" spans="1:16" x14ac:dyDescent="0.3">
      <c r="B27" s="88">
        <v>42005</v>
      </c>
      <c r="C27" s="88">
        <v>42370</v>
      </c>
      <c r="D27" s="88">
        <v>42736</v>
      </c>
      <c r="E27" s="88">
        <v>43101</v>
      </c>
      <c r="F27" s="88">
        <v>43466</v>
      </c>
      <c r="G27" s="88">
        <v>43831</v>
      </c>
      <c r="H27" s="88">
        <v>44197</v>
      </c>
      <c r="I27" s="88">
        <v>44562</v>
      </c>
      <c r="J27" s="88">
        <v>44927</v>
      </c>
      <c r="K27" s="88">
        <v>45292</v>
      </c>
      <c r="L27" s="88">
        <v>45658</v>
      </c>
      <c r="M27" s="88">
        <v>46023</v>
      </c>
      <c r="N27" s="88">
        <v>46388</v>
      </c>
      <c r="O27" s="88">
        <v>46753</v>
      </c>
      <c r="P27" s="88">
        <v>47119</v>
      </c>
    </row>
    <row r="29" spans="1:16" x14ac:dyDescent="0.3">
      <c r="A29" s="87" t="s">
        <v>75</v>
      </c>
      <c r="B29" s="87">
        <v>4623</v>
      </c>
      <c r="C29" s="87">
        <v>5037</v>
      </c>
      <c r="D29" s="87">
        <v>6798</v>
      </c>
      <c r="E29" s="87">
        <v>7108</v>
      </c>
      <c r="F29" s="87">
        <v>7422</v>
      </c>
      <c r="G29" s="87">
        <v>10897</v>
      </c>
      <c r="H29" s="87">
        <v>11561</v>
      </c>
      <c r="I29" s="87">
        <v>21208</v>
      </c>
      <c r="J29" s="87">
        <v>13296</v>
      </c>
      <c r="K29" s="87">
        <v>25984</v>
      </c>
      <c r="L29" s="90">
        <f>K29</f>
        <v>25984</v>
      </c>
      <c r="M29" s="90">
        <f t="shared" ref="M29:P29" si="18">L29</f>
        <v>25984</v>
      </c>
      <c r="N29" s="90">
        <f t="shared" si="18"/>
        <v>25984</v>
      </c>
      <c r="O29" s="90">
        <f t="shared" si="18"/>
        <v>25984</v>
      </c>
      <c r="P29" s="90">
        <f t="shared" si="18"/>
        <v>25984</v>
      </c>
    </row>
    <row r="30" spans="1:16" x14ac:dyDescent="0.3">
      <c r="A30" s="87" t="s">
        <v>76</v>
      </c>
      <c r="B30" s="87">
        <v>474</v>
      </c>
      <c r="C30" s="87">
        <v>505</v>
      </c>
      <c r="D30" s="87">
        <v>826</v>
      </c>
      <c r="E30" s="87">
        <v>1265</v>
      </c>
      <c r="F30" s="87">
        <v>1424</v>
      </c>
      <c r="G30" s="87">
        <v>1657</v>
      </c>
      <c r="H30" s="87">
        <v>2429</v>
      </c>
      <c r="I30" s="87">
        <v>4650</v>
      </c>
      <c r="J30" s="87">
        <v>3827</v>
      </c>
      <c r="K30" s="87">
        <v>9999</v>
      </c>
      <c r="L30" s="90">
        <f>L6*'Forecast Assumptions'!L12</f>
        <v>10722.272000000003</v>
      </c>
      <c r="M30" s="90">
        <f>M6*'Forecast Assumptions'!M12</f>
        <v>12330.612800000001</v>
      </c>
      <c r="N30" s="90">
        <f>N6*'Forecast Assumptions'!N12</f>
        <v>14796.735360000001</v>
      </c>
      <c r="O30" s="90">
        <f>O6*'Forecast Assumptions'!O12</f>
        <v>18495.9192</v>
      </c>
      <c r="P30" s="90">
        <f>P6*'Forecast Assumptions'!P12</f>
        <v>24044.694960000004</v>
      </c>
    </row>
    <row r="31" spans="1:16" x14ac:dyDescent="0.3">
      <c r="A31" s="87" t="s">
        <v>77</v>
      </c>
      <c r="B31" s="87">
        <v>483</v>
      </c>
      <c r="C31" s="87">
        <v>418</v>
      </c>
      <c r="D31" s="87">
        <v>794</v>
      </c>
      <c r="E31" s="87">
        <v>796</v>
      </c>
      <c r="F31" s="87">
        <v>1575</v>
      </c>
      <c r="G31" s="87">
        <v>979</v>
      </c>
      <c r="H31" s="87">
        <v>1826</v>
      </c>
      <c r="I31" s="87">
        <v>2605</v>
      </c>
      <c r="J31" s="87">
        <v>5159</v>
      </c>
      <c r="K31" s="87">
        <v>5282</v>
      </c>
      <c r="L31" s="90">
        <f>L6*'Forecast Assumptions'!L13</f>
        <v>6031.2780000000012</v>
      </c>
      <c r="M31" s="90">
        <f>M6*'Forecast Assumptions'!M13</f>
        <v>6935.9696999999996</v>
      </c>
      <c r="N31" s="90">
        <f>N6*'Forecast Assumptions'!N13</f>
        <v>8323.1636400000007</v>
      </c>
      <c r="O31" s="90">
        <f>O6*'Forecast Assumptions'!O13</f>
        <v>10403.95455</v>
      </c>
      <c r="P31" s="90">
        <f>P6*'Forecast Assumptions'!P13</f>
        <v>13525.140915000002</v>
      </c>
    </row>
    <row r="32" spans="1:16" x14ac:dyDescent="0.3">
      <c r="A32" s="87" t="s">
        <v>78</v>
      </c>
      <c r="B32" s="87">
        <v>70</v>
      </c>
      <c r="C32" s="87">
        <v>93</v>
      </c>
      <c r="D32" s="87">
        <v>118</v>
      </c>
      <c r="E32" s="87">
        <v>86</v>
      </c>
      <c r="F32" s="87">
        <v>136</v>
      </c>
      <c r="G32" s="87">
        <v>157</v>
      </c>
      <c r="H32" s="87">
        <v>239</v>
      </c>
      <c r="I32" s="87">
        <v>366</v>
      </c>
      <c r="J32" s="87">
        <v>791</v>
      </c>
      <c r="K32" s="87">
        <v>3080</v>
      </c>
      <c r="L32" s="90">
        <f>L6*'Forecast Assumptions'!L14</f>
        <v>3350.7100000000009</v>
      </c>
      <c r="M32" s="90">
        <f>M6*'Forecast Assumptions'!M14</f>
        <v>3853.3165000000004</v>
      </c>
      <c r="N32" s="90">
        <f>N6*'Forecast Assumptions'!N14</f>
        <v>4623.9798000000001</v>
      </c>
      <c r="O32" s="90">
        <f>O6*'Forecast Assumptions'!O14</f>
        <v>5779.9747500000012</v>
      </c>
      <c r="P32" s="90">
        <f>P6*'Forecast Assumptions'!P14</f>
        <v>7513.9671750000016</v>
      </c>
    </row>
    <row r="33" spans="1:16" x14ac:dyDescent="0.3">
      <c r="A33" s="87" t="s">
        <v>79</v>
      </c>
      <c r="B33" s="91">
        <v>63</v>
      </c>
      <c r="C33" s="91">
        <v>0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91">
        <v>0</v>
      </c>
      <c r="J33" s="91">
        <v>0</v>
      </c>
      <c r="K33" s="91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</row>
    <row r="34" spans="1:16" x14ac:dyDescent="0.3">
      <c r="A34" s="87" t="s">
        <v>26</v>
      </c>
      <c r="B34" s="87">
        <f>B29+B30+B31+B32+B33</f>
        <v>5713</v>
      </c>
      <c r="C34" s="87">
        <f t="shared" ref="C34:K34" si="19">C29+C30+C31+C32+C33</f>
        <v>6053</v>
      </c>
      <c r="D34" s="87">
        <f t="shared" si="19"/>
        <v>8536</v>
      </c>
      <c r="E34" s="87">
        <f t="shared" si="19"/>
        <v>9255</v>
      </c>
      <c r="F34" s="87">
        <f t="shared" si="19"/>
        <v>10557</v>
      </c>
      <c r="G34" s="87">
        <f t="shared" si="19"/>
        <v>13690</v>
      </c>
      <c r="H34" s="87">
        <f t="shared" si="19"/>
        <v>16055</v>
      </c>
      <c r="I34" s="87">
        <f t="shared" si="19"/>
        <v>28829</v>
      </c>
      <c r="J34" s="87">
        <f t="shared" si="19"/>
        <v>23073</v>
      </c>
      <c r="K34" s="87">
        <f t="shared" si="19"/>
        <v>44345</v>
      </c>
      <c r="L34" s="90">
        <f>SUM(L30:L33)</f>
        <v>20104.260000000002</v>
      </c>
      <c r="M34" s="90">
        <f t="shared" ref="M34:P34" si="20">SUM(M30:M33)</f>
        <v>23119.899000000001</v>
      </c>
      <c r="N34" s="90">
        <f t="shared" si="20"/>
        <v>27743.878800000002</v>
      </c>
      <c r="O34" s="90">
        <f t="shared" si="20"/>
        <v>34679.8485</v>
      </c>
      <c r="P34" s="90">
        <f t="shared" si="20"/>
        <v>45083.803050000002</v>
      </c>
    </row>
    <row r="35" spans="1:16" x14ac:dyDescent="0.3">
      <c r="L35" s="90"/>
      <c r="M35" s="90"/>
      <c r="N35" s="90"/>
      <c r="O35" s="90"/>
      <c r="P35" s="90"/>
    </row>
    <row r="36" spans="1:16" x14ac:dyDescent="0.3">
      <c r="A36" s="87" t="s">
        <v>57</v>
      </c>
      <c r="L36" s="90">
        <f>IF((L56+L66+L70)&gt;(L34+L44),(L56+L66+L70)-(L34+L44),0)</f>
        <v>7231618.2203000011</v>
      </c>
      <c r="M36" s="90">
        <f t="shared" ref="M36:P36" si="21">IF((M56+M66+M70)&gt;(M34+M44),(M56+M66+M70)-(M34+M44),0)</f>
        <v>14815327.409323335</v>
      </c>
      <c r="N36" s="90">
        <f t="shared" si="21"/>
        <v>18558193.839431997</v>
      </c>
      <c r="O36" s="90">
        <f t="shared" si="21"/>
        <v>27055604.893582001</v>
      </c>
      <c r="P36" s="90">
        <f t="shared" si="21"/>
        <v>27656861.118970748</v>
      </c>
    </row>
    <row r="37" spans="1:16" x14ac:dyDescent="0.3">
      <c r="L37" s="90"/>
      <c r="M37" s="90"/>
      <c r="N37" s="90"/>
      <c r="O37" s="90"/>
      <c r="P37" s="90"/>
    </row>
    <row r="38" spans="1:16" x14ac:dyDescent="0.3">
      <c r="A38" s="87" t="s">
        <v>80</v>
      </c>
      <c r="B38" s="87">
        <v>557</v>
      </c>
      <c r="C38" s="87">
        <v>466</v>
      </c>
      <c r="D38" s="87">
        <v>521</v>
      </c>
      <c r="E38" s="87">
        <v>997</v>
      </c>
      <c r="F38" s="87">
        <v>1404</v>
      </c>
      <c r="G38" s="87">
        <v>2292</v>
      </c>
      <c r="H38" s="87">
        <v>2856</v>
      </c>
      <c r="I38" s="87">
        <v>3607</v>
      </c>
      <c r="J38" s="87">
        <v>4845</v>
      </c>
      <c r="K38" s="87">
        <v>5260</v>
      </c>
      <c r="L38" s="90">
        <f>L6*'Forecast Assumptions'!L15</f>
        <v>12062.556000000002</v>
      </c>
      <c r="M38" s="90">
        <f>M6*'Forecast Assumptions'!M15</f>
        <v>13871.939399999999</v>
      </c>
      <c r="N38" s="90">
        <f>N6*'Forecast Assumptions'!N15</f>
        <v>16646.327280000001</v>
      </c>
      <c r="O38" s="90">
        <f>O6*'Forecast Assumptions'!O15</f>
        <v>20807.909100000001</v>
      </c>
      <c r="P38" s="90">
        <f>P6*'Forecast Assumptions'!P15</f>
        <v>27050.281830000004</v>
      </c>
    </row>
    <row r="39" spans="1:16" x14ac:dyDescent="0.3">
      <c r="A39" s="87" t="s">
        <v>81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77</v>
      </c>
      <c r="H39" s="87">
        <v>144</v>
      </c>
      <c r="I39" s="87">
        <v>266</v>
      </c>
      <c r="J39" s="87">
        <v>299</v>
      </c>
      <c r="K39" s="87">
        <v>1546</v>
      </c>
      <c r="L39" s="90">
        <f>K39</f>
        <v>1546</v>
      </c>
      <c r="M39" s="90">
        <f t="shared" ref="M39:P39" si="22">L39</f>
        <v>1546</v>
      </c>
      <c r="N39" s="90">
        <f t="shared" si="22"/>
        <v>1546</v>
      </c>
      <c r="O39" s="90">
        <f t="shared" si="22"/>
        <v>1546</v>
      </c>
      <c r="P39" s="90">
        <f t="shared" si="22"/>
        <v>1546</v>
      </c>
    </row>
    <row r="40" spans="1:16" x14ac:dyDescent="0.3">
      <c r="A40" s="87" t="s">
        <v>82</v>
      </c>
      <c r="B40" s="87">
        <v>618</v>
      </c>
      <c r="C40" s="87">
        <v>618</v>
      </c>
      <c r="D40" s="87">
        <v>618</v>
      </c>
      <c r="E40" s="87">
        <v>618</v>
      </c>
      <c r="F40" s="87">
        <v>618</v>
      </c>
      <c r="G40" s="87">
        <v>618</v>
      </c>
      <c r="H40" s="87">
        <v>4193</v>
      </c>
      <c r="I40" s="87">
        <v>4349</v>
      </c>
      <c r="J40" s="87">
        <v>4372</v>
      </c>
      <c r="K40" s="87">
        <v>4430</v>
      </c>
      <c r="L40" s="90">
        <f t="shared" ref="L40:P43" si="23">K40</f>
        <v>4430</v>
      </c>
      <c r="M40" s="90">
        <f t="shared" si="23"/>
        <v>4430</v>
      </c>
      <c r="N40" s="90">
        <f t="shared" si="23"/>
        <v>4430</v>
      </c>
      <c r="O40" s="90">
        <f t="shared" si="23"/>
        <v>4430</v>
      </c>
      <c r="P40" s="90">
        <f t="shared" si="23"/>
        <v>4430</v>
      </c>
    </row>
    <row r="41" spans="1:16" x14ac:dyDescent="0.3">
      <c r="A41" s="87" t="s">
        <v>83</v>
      </c>
      <c r="B41" s="87">
        <v>222</v>
      </c>
      <c r="C41" s="87">
        <v>166</v>
      </c>
      <c r="D41" s="87">
        <v>104</v>
      </c>
      <c r="E41" s="87">
        <v>52</v>
      </c>
      <c r="F41" s="87">
        <v>45</v>
      </c>
      <c r="G41" s="87">
        <v>49</v>
      </c>
      <c r="H41" s="87">
        <v>2737</v>
      </c>
      <c r="I41" s="87">
        <v>2339</v>
      </c>
      <c r="J41" s="87">
        <v>1676</v>
      </c>
      <c r="K41" s="87">
        <v>1112</v>
      </c>
      <c r="L41" s="90">
        <f t="shared" si="23"/>
        <v>1112</v>
      </c>
      <c r="M41" s="90">
        <f t="shared" si="23"/>
        <v>1112</v>
      </c>
      <c r="N41" s="90">
        <f t="shared" si="23"/>
        <v>1112</v>
      </c>
      <c r="O41" s="90">
        <f t="shared" si="23"/>
        <v>1112</v>
      </c>
      <c r="P41" s="90">
        <f t="shared" si="23"/>
        <v>1112</v>
      </c>
    </row>
    <row r="42" spans="1:16" x14ac:dyDescent="0.3">
      <c r="A42" s="87" t="s">
        <v>84</v>
      </c>
      <c r="B42" s="87">
        <v>0</v>
      </c>
      <c r="C42" s="87">
        <v>0</v>
      </c>
      <c r="D42" s="87">
        <v>0</v>
      </c>
      <c r="E42" s="87">
        <v>245</v>
      </c>
      <c r="F42" s="87">
        <v>560</v>
      </c>
      <c r="G42" s="87">
        <v>548</v>
      </c>
      <c r="H42" s="87">
        <v>806</v>
      </c>
      <c r="I42" s="87">
        <v>1222</v>
      </c>
      <c r="J42" s="87">
        <v>3396</v>
      </c>
      <c r="K42" s="87">
        <v>6081</v>
      </c>
      <c r="L42" s="90">
        <f t="shared" si="23"/>
        <v>6081</v>
      </c>
      <c r="M42" s="90">
        <f t="shared" si="23"/>
        <v>6081</v>
      </c>
      <c r="N42" s="90">
        <f t="shared" si="23"/>
        <v>6081</v>
      </c>
      <c r="O42" s="90">
        <f t="shared" si="23"/>
        <v>6081</v>
      </c>
      <c r="P42" s="90">
        <f t="shared" si="23"/>
        <v>6081</v>
      </c>
    </row>
    <row r="43" spans="1:16" x14ac:dyDescent="0.3">
      <c r="A43" s="87" t="s">
        <v>85</v>
      </c>
      <c r="B43" s="91">
        <v>91</v>
      </c>
      <c r="C43" s="91">
        <v>67</v>
      </c>
      <c r="D43" s="91">
        <v>62</v>
      </c>
      <c r="E43" s="91">
        <v>74</v>
      </c>
      <c r="F43" s="91">
        <v>108</v>
      </c>
      <c r="G43" s="91">
        <v>41</v>
      </c>
      <c r="H43" s="91">
        <v>2000</v>
      </c>
      <c r="I43" s="91">
        <v>3575</v>
      </c>
      <c r="J43" s="91">
        <v>3521</v>
      </c>
      <c r="K43" s="91">
        <v>2954</v>
      </c>
      <c r="L43" s="92">
        <f t="shared" si="23"/>
        <v>2954</v>
      </c>
      <c r="M43" s="92">
        <f t="shared" si="23"/>
        <v>2954</v>
      </c>
      <c r="N43" s="92">
        <f t="shared" si="23"/>
        <v>2954</v>
      </c>
      <c r="O43" s="92">
        <f t="shared" si="23"/>
        <v>2954</v>
      </c>
      <c r="P43" s="92">
        <f t="shared" si="23"/>
        <v>2954</v>
      </c>
    </row>
    <row r="44" spans="1:16" x14ac:dyDescent="0.3">
      <c r="A44" s="87" t="s">
        <v>86</v>
      </c>
      <c r="B44" s="87">
        <f>SUM(B38:B43)</f>
        <v>1488</v>
      </c>
      <c r="C44" s="87">
        <f t="shared" ref="C44:K44" si="24">SUM(C38:C43)</f>
        <v>1317</v>
      </c>
      <c r="D44" s="87">
        <f t="shared" si="24"/>
        <v>1305</v>
      </c>
      <c r="E44" s="87">
        <f t="shared" si="24"/>
        <v>1986</v>
      </c>
      <c r="F44" s="87">
        <f t="shared" si="24"/>
        <v>2735</v>
      </c>
      <c r="G44" s="87">
        <f t="shared" si="24"/>
        <v>3625</v>
      </c>
      <c r="H44" s="87">
        <f t="shared" si="24"/>
        <v>12736</v>
      </c>
      <c r="I44" s="87">
        <f t="shared" si="24"/>
        <v>15358</v>
      </c>
      <c r="J44" s="87">
        <f t="shared" si="24"/>
        <v>18109</v>
      </c>
      <c r="K44" s="87">
        <f t="shared" si="24"/>
        <v>21383</v>
      </c>
      <c r="L44" s="90">
        <f>SUM(L38:L43)</f>
        <v>28185.556000000004</v>
      </c>
      <c r="M44" s="90">
        <f t="shared" ref="M44:P44" si="25">SUM(M38:M43)</f>
        <v>29994.939399999999</v>
      </c>
      <c r="N44" s="90">
        <f t="shared" si="25"/>
        <v>32769.327279999998</v>
      </c>
      <c r="O44" s="90">
        <f t="shared" si="25"/>
        <v>36930.909100000004</v>
      </c>
      <c r="P44" s="90">
        <f t="shared" si="25"/>
        <v>43173.281830000007</v>
      </c>
    </row>
    <row r="45" spans="1:16" x14ac:dyDescent="0.3">
      <c r="L45" s="90"/>
      <c r="M45" s="90"/>
      <c r="N45" s="90"/>
      <c r="O45" s="90"/>
      <c r="P45" s="90"/>
    </row>
    <row r="46" spans="1:16" ht="16.2" thickBot="1" x14ac:dyDescent="0.35">
      <c r="A46" s="87" t="s">
        <v>87</v>
      </c>
      <c r="B46" s="94">
        <f>B34+B44</f>
        <v>7201</v>
      </c>
      <c r="C46" s="94">
        <f t="shared" ref="C46:K46" si="26">C34+C44</f>
        <v>7370</v>
      </c>
      <c r="D46" s="94">
        <f t="shared" si="26"/>
        <v>9841</v>
      </c>
      <c r="E46" s="94">
        <f t="shared" si="26"/>
        <v>11241</v>
      </c>
      <c r="F46" s="94">
        <f t="shared" si="26"/>
        <v>13292</v>
      </c>
      <c r="G46" s="94">
        <f t="shared" si="26"/>
        <v>17315</v>
      </c>
      <c r="H46" s="94">
        <f t="shared" si="26"/>
        <v>28791</v>
      </c>
      <c r="I46" s="94">
        <f t="shared" si="26"/>
        <v>44187</v>
      </c>
      <c r="J46" s="94">
        <f t="shared" si="26"/>
        <v>41182</v>
      </c>
      <c r="K46" s="94">
        <f t="shared" si="26"/>
        <v>65728</v>
      </c>
      <c r="L46" s="95">
        <f>L34+L36+L44</f>
        <v>7279908.0363000007</v>
      </c>
      <c r="M46" s="95">
        <f t="shared" ref="M46:P46" si="27">M34+M36+M44</f>
        <v>14868442.247723335</v>
      </c>
      <c r="N46" s="95">
        <f t="shared" si="27"/>
        <v>18618707.045511998</v>
      </c>
      <c r="O46" s="95">
        <f t="shared" si="27"/>
        <v>27127215.651182</v>
      </c>
      <c r="P46" s="95">
        <f t="shared" si="27"/>
        <v>27745118.20385075</v>
      </c>
    </row>
    <row r="47" spans="1:16" ht="16.2" thickTop="1" x14ac:dyDescent="0.3"/>
    <row r="49" spans="1:16" x14ac:dyDescent="0.3">
      <c r="A49" s="87" t="s">
        <v>88</v>
      </c>
      <c r="B49" s="87">
        <v>293</v>
      </c>
      <c r="C49" s="87">
        <v>296</v>
      </c>
      <c r="D49" s="87">
        <v>485</v>
      </c>
      <c r="E49" s="87">
        <v>596</v>
      </c>
      <c r="F49" s="87">
        <v>511</v>
      </c>
      <c r="G49" s="87">
        <v>687</v>
      </c>
      <c r="H49" s="87">
        <v>1149</v>
      </c>
      <c r="I49" s="87">
        <v>1783</v>
      </c>
      <c r="J49" s="87">
        <v>1193</v>
      </c>
      <c r="K49" s="87">
        <v>2699</v>
      </c>
      <c r="L49" s="90">
        <f>L6/'Forecast Assumptions'!L17</f>
        <v>1340284.0000000002</v>
      </c>
      <c r="M49" s="90">
        <f>M6/'Forecast Assumptions'!M17</f>
        <v>1926658.25</v>
      </c>
      <c r="N49" s="90">
        <f>N6/'Forecast Assumptions'!N17</f>
        <v>3082653.2</v>
      </c>
      <c r="O49" s="90">
        <f>O6/'Forecast Assumptions'!O17</f>
        <v>5779974.75</v>
      </c>
      <c r="P49" s="90">
        <f>P6/'Forecast Assumptions'!P17</f>
        <v>3756983.5875000004</v>
      </c>
    </row>
    <row r="50" spans="1:16" x14ac:dyDescent="0.3">
      <c r="A50" s="87" t="s">
        <v>89</v>
      </c>
      <c r="B50" s="87">
        <v>132</v>
      </c>
      <c r="C50" s="87">
        <v>106</v>
      </c>
      <c r="D50" s="87">
        <v>178</v>
      </c>
      <c r="E50" s="87">
        <v>224</v>
      </c>
      <c r="F50" s="87">
        <v>200</v>
      </c>
      <c r="G50" s="87">
        <v>223</v>
      </c>
      <c r="H50" s="87">
        <v>297</v>
      </c>
      <c r="I50" s="87">
        <v>409</v>
      </c>
      <c r="J50" s="87">
        <v>530</v>
      </c>
      <c r="K50" s="87">
        <v>675</v>
      </c>
      <c r="L50" s="90">
        <f>L6/'Forecast Assumptions'!L18</f>
        <v>1675355.0000000002</v>
      </c>
      <c r="M50" s="90">
        <f>M6/'Forecast Assumptions'!M18</f>
        <v>2568877.666666667</v>
      </c>
      <c r="N50" s="90">
        <f>N6/'Forecast Assumptions'!N18</f>
        <v>3082653.2</v>
      </c>
      <c r="O50" s="90">
        <f>O6/'Forecast Assumptions'!O18</f>
        <v>3853316.5000000005</v>
      </c>
      <c r="P50" s="90">
        <f>P6/'Forecast Assumptions'!P18</f>
        <v>5009311.4500000011</v>
      </c>
    </row>
    <row r="51" spans="1:16" x14ac:dyDescent="0.3">
      <c r="A51" s="87" t="s">
        <v>90</v>
      </c>
      <c r="B51" s="87">
        <v>0</v>
      </c>
      <c r="C51" s="87">
        <v>1413</v>
      </c>
      <c r="D51" s="87">
        <v>796</v>
      </c>
      <c r="E51" s="87">
        <v>15</v>
      </c>
      <c r="F51" s="87">
        <v>0</v>
      </c>
      <c r="G51" s="87">
        <v>0</v>
      </c>
      <c r="H51" s="87">
        <v>999</v>
      </c>
      <c r="I51" s="87">
        <v>0</v>
      </c>
      <c r="J51" s="87">
        <v>1250</v>
      </c>
      <c r="K51" s="87">
        <v>1250</v>
      </c>
      <c r="L51" s="90">
        <f>K51</f>
        <v>1250</v>
      </c>
      <c r="M51" s="90">
        <f t="shared" ref="M51:P51" si="28">L51</f>
        <v>1250</v>
      </c>
      <c r="N51" s="90">
        <f t="shared" si="28"/>
        <v>1250</v>
      </c>
      <c r="O51" s="90">
        <f t="shared" si="28"/>
        <v>1250</v>
      </c>
      <c r="P51" s="90">
        <f t="shared" si="28"/>
        <v>1250</v>
      </c>
    </row>
    <row r="52" spans="1:16" x14ac:dyDescent="0.3">
      <c r="A52" s="87" t="s">
        <v>91</v>
      </c>
      <c r="B52" s="87">
        <v>0</v>
      </c>
      <c r="C52" s="87">
        <v>4</v>
      </c>
      <c r="D52" s="87">
        <v>4</v>
      </c>
      <c r="E52" s="87">
        <v>0</v>
      </c>
      <c r="F52" s="87">
        <v>0</v>
      </c>
      <c r="G52" s="87">
        <v>91</v>
      </c>
      <c r="H52" s="87">
        <v>0</v>
      </c>
      <c r="I52" s="87">
        <v>144</v>
      </c>
      <c r="J52" s="87">
        <v>176</v>
      </c>
      <c r="K52" s="87">
        <v>228</v>
      </c>
      <c r="L52" s="90">
        <f>K52</f>
        <v>228</v>
      </c>
      <c r="M52" s="90">
        <f t="shared" ref="M52:P52" si="29">L52</f>
        <v>228</v>
      </c>
      <c r="N52" s="90">
        <f t="shared" si="29"/>
        <v>228</v>
      </c>
      <c r="O52" s="90">
        <f t="shared" si="29"/>
        <v>228</v>
      </c>
      <c r="P52" s="90">
        <f t="shared" si="29"/>
        <v>228</v>
      </c>
    </row>
    <row r="53" spans="1:16" x14ac:dyDescent="0.3">
      <c r="A53" s="87" t="s">
        <v>92</v>
      </c>
      <c r="B53" s="87">
        <v>3</v>
      </c>
      <c r="C53" s="87">
        <v>2</v>
      </c>
      <c r="D53" s="87">
        <v>4</v>
      </c>
      <c r="E53" s="87">
        <v>33</v>
      </c>
      <c r="F53" s="87">
        <v>91</v>
      </c>
      <c r="G53" s="87">
        <v>61</v>
      </c>
      <c r="H53" s="87">
        <v>0</v>
      </c>
      <c r="I53" s="87">
        <v>132</v>
      </c>
      <c r="J53" s="87">
        <v>467</v>
      </c>
      <c r="K53" s="87">
        <v>296</v>
      </c>
      <c r="L53" s="90">
        <f>K53</f>
        <v>296</v>
      </c>
      <c r="M53" s="90">
        <f t="shared" ref="M53:P53" si="30">L53</f>
        <v>296</v>
      </c>
      <c r="N53" s="90">
        <f t="shared" si="30"/>
        <v>296</v>
      </c>
      <c r="O53" s="90">
        <f t="shared" si="30"/>
        <v>296</v>
      </c>
      <c r="P53" s="90">
        <f t="shared" si="30"/>
        <v>296</v>
      </c>
    </row>
    <row r="54" spans="1:16" x14ac:dyDescent="0.3">
      <c r="A54" s="87" t="s">
        <v>93</v>
      </c>
      <c r="B54" s="87">
        <v>296</v>
      </c>
      <c r="C54" s="87">
        <v>322</v>
      </c>
      <c r="D54" s="87">
        <v>85</v>
      </c>
      <c r="E54" s="87">
        <v>53</v>
      </c>
      <c r="F54" s="87">
        <v>92</v>
      </c>
      <c r="G54" s="87">
        <v>141</v>
      </c>
      <c r="H54" s="87">
        <v>288</v>
      </c>
      <c r="I54" s="87">
        <v>300</v>
      </c>
      <c r="J54" s="87">
        <v>354</v>
      </c>
      <c r="K54" s="87">
        <v>764</v>
      </c>
      <c r="L54" s="90">
        <f>L6/'Forecast Assumptions'!L19</f>
        <v>3350710.0000000005</v>
      </c>
      <c r="M54" s="90">
        <f>M6/'Forecast Assumptions'!M19</f>
        <v>7706633</v>
      </c>
      <c r="N54" s="90">
        <f>N6/'Forecast Assumptions'!N19</f>
        <v>9247959.5999999996</v>
      </c>
      <c r="O54" s="90">
        <f>O6/'Forecast Assumptions'!O19</f>
        <v>11559949.5</v>
      </c>
      <c r="P54" s="90">
        <f>P6/'Forecast Assumptions'!P19</f>
        <v>15027934.350000001</v>
      </c>
    </row>
    <row r="55" spans="1:16" x14ac:dyDescent="0.3">
      <c r="A55" s="87" t="s">
        <v>94</v>
      </c>
      <c r="B55" s="91">
        <v>172</v>
      </c>
      <c r="C55" s="91">
        <v>208</v>
      </c>
      <c r="D55" s="91">
        <v>236</v>
      </c>
      <c r="E55" s="91">
        <v>232</v>
      </c>
      <c r="F55" s="91">
        <v>435</v>
      </c>
      <c r="G55" s="91">
        <v>581</v>
      </c>
      <c r="H55" s="91">
        <v>1192</v>
      </c>
      <c r="I55" s="91">
        <v>1567</v>
      </c>
      <c r="J55" s="91">
        <v>2593</v>
      </c>
      <c r="K55" s="91">
        <v>4719</v>
      </c>
      <c r="L55" s="92">
        <f>L6/'Forecast Assumptions'!L20</f>
        <v>837677.50000000012</v>
      </c>
      <c r="M55" s="92">
        <f>M6/'Forecast Assumptions'!M20</f>
        <v>2568877.666666667</v>
      </c>
      <c r="N55" s="92">
        <f>N6/'Forecast Assumptions'!N20</f>
        <v>3082653.2</v>
      </c>
      <c r="O55" s="92">
        <f>O6/'Forecast Assumptions'!O20</f>
        <v>5779974.75</v>
      </c>
      <c r="P55" s="92">
        <f>P6/'Forecast Assumptions'!P20</f>
        <v>3756983.5875000004</v>
      </c>
    </row>
    <row r="56" spans="1:16" x14ac:dyDescent="0.3">
      <c r="A56" s="87" t="s">
        <v>27</v>
      </c>
      <c r="B56" s="87">
        <f>SUM(B49:B55)</f>
        <v>896</v>
      </c>
      <c r="C56" s="87">
        <f t="shared" ref="C56:K56" si="31">SUM(C49:C55)</f>
        <v>2351</v>
      </c>
      <c r="D56" s="87">
        <f t="shared" si="31"/>
        <v>1788</v>
      </c>
      <c r="E56" s="87">
        <f t="shared" si="31"/>
        <v>1153</v>
      </c>
      <c r="F56" s="87">
        <f t="shared" si="31"/>
        <v>1329</v>
      </c>
      <c r="G56" s="87">
        <f t="shared" si="31"/>
        <v>1784</v>
      </c>
      <c r="H56" s="87">
        <f t="shared" si="31"/>
        <v>3925</v>
      </c>
      <c r="I56" s="87">
        <f t="shared" si="31"/>
        <v>4335</v>
      </c>
      <c r="J56" s="87">
        <f t="shared" si="31"/>
        <v>6563</v>
      </c>
      <c r="K56" s="87">
        <f t="shared" si="31"/>
        <v>10631</v>
      </c>
      <c r="L56" s="90">
        <f>SUM(L49:L55)</f>
        <v>7205800.5000000009</v>
      </c>
      <c r="M56" s="90">
        <f t="shared" ref="M56:P56" si="32">SUM(M49:M55)</f>
        <v>14772820.583333336</v>
      </c>
      <c r="N56" s="90">
        <f t="shared" si="32"/>
        <v>18497693.199999999</v>
      </c>
      <c r="O56" s="90">
        <f t="shared" si="32"/>
        <v>26974989.5</v>
      </c>
      <c r="P56" s="90">
        <f t="shared" si="32"/>
        <v>27552986.975000001</v>
      </c>
    </row>
    <row r="57" spans="1:16" x14ac:dyDescent="0.3">
      <c r="L57" s="90"/>
      <c r="M57" s="90"/>
      <c r="N57" s="90"/>
      <c r="O57" s="90"/>
      <c r="P57" s="90"/>
    </row>
    <row r="58" spans="1:16" x14ac:dyDescent="0.3">
      <c r="A58" s="87" t="s">
        <v>58</v>
      </c>
      <c r="L58" s="90">
        <f>IF((L34+L44)&gt;(L56+L66+L70),(L34+L44)-(L56+L66+L70),0)</f>
        <v>0</v>
      </c>
      <c r="M58" s="90">
        <f t="shared" ref="M58:P58" si="33">IF((M34+M44)&gt;(M56+M66+M70),(M34+M44)-(M56+M66+M70),0)</f>
        <v>0</v>
      </c>
      <c r="N58" s="90">
        <f t="shared" si="33"/>
        <v>0</v>
      </c>
      <c r="O58" s="90">
        <f t="shared" si="33"/>
        <v>0</v>
      </c>
      <c r="P58" s="90">
        <f t="shared" si="33"/>
        <v>0</v>
      </c>
    </row>
    <row r="59" spans="1:16" x14ac:dyDescent="0.3">
      <c r="L59" s="90"/>
      <c r="M59" s="90"/>
      <c r="N59" s="90"/>
      <c r="O59" s="90"/>
      <c r="P59" s="90"/>
    </row>
    <row r="60" spans="1:16" x14ac:dyDescent="0.3">
      <c r="A60" s="87" t="s">
        <v>28</v>
      </c>
      <c r="B60" s="87">
        <v>1384</v>
      </c>
      <c r="C60" s="87">
        <v>7</v>
      </c>
      <c r="D60" s="87">
        <v>1983</v>
      </c>
      <c r="E60" s="87">
        <v>1985</v>
      </c>
      <c r="F60" s="87">
        <v>1988</v>
      </c>
      <c r="G60" s="87">
        <v>1991</v>
      </c>
      <c r="H60" s="87">
        <v>5964</v>
      </c>
      <c r="I60" s="87">
        <v>10946</v>
      </c>
      <c r="J60" s="87">
        <v>9703</v>
      </c>
      <c r="K60" s="87">
        <v>8459</v>
      </c>
      <c r="L60" s="90">
        <f t="shared" ref="L60:L65" si="34">K60</f>
        <v>8459</v>
      </c>
      <c r="M60" s="90">
        <f t="shared" ref="M60:P60" si="35">L60</f>
        <v>8459</v>
      </c>
      <c r="N60" s="90">
        <f t="shared" si="35"/>
        <v>8459</v>
      </c>
      <c r="O60" s="90">
        <f t="shared" si="35"/>
        <v>8459</v>
      </c>
      <c r="P60" s="90">
        <f t="shared" si="35"/>
        <v>8459</v>
      </c>
    </row>
    <row r="61" spans="1:16" x14ac:dyDescent="0.3">
      <c r="A61" s="87" t="s">
        <v>95</v>
      </c>
      <c r="B61" s="87">
        <v>108</v>
      </c>
      <c r="C61" s="87">
        <v>44</v>
      </c>
      <c r="D61" s="87">
        <v>4</v>
      </c>
      <c r="E61" s="87">
        <v>15</v>
      </c>
      <c r="F61" s="87">
        <v>46</v>
      </c>
      <c r="G61" s="87">
        <v>60</v>
      </c>
      <c r="H61" s="87">
        <v>163</v>
      </c>
      <c r="I61" s="87">
        <v>202</v>
      </c>
      <c r="J61" s="87">
        <v>218</v>
      </c>
      <c r="K61" s="87">
        <v>573</v>
      </c>
      <c r="L61" s="90">
        <f t="shared" si="34"/>
        <v>573</v>
      </c>
      <c r="M61" s="90">
        <f t="shared" ref="M61:P61" si="36">L61</f>
        <v>573</v>
      </c>
      <c r="N61" s="90">
        <f t="shared" si="36"/>
        <v>573</v>
      </c>
      <c r="O61" s="90">
        <f t="shared" si="36"/>
        <v>573</v>
      </c>
      <c r="P61" s="90">
        <f t="shared" si="36"/>
        <v>573</v>
      </c>
    </row>
    <row r="62" spans="1:16" x14ac:dyDescent="0.3">
      <c r="A62" s="87" t="s">
        <v>96</v>
      </c>
      <c r="B62" s="87">
        <v>0</v>
      </c>
      <c r="C62" s="87">
        <v>0</v>
      </c>
      <c r="D62" s="87">
        <v>10</v>
      </c>
      <c r="E62" s="87">
        <v>12</v>
      </c>
      <c r="F62" s="87">
        <v>20</v>
      </c>
      <c r="G62" s="87">
        <v>22</v>
      </c>
      <c r="H62" s="87">
        <v>0</v>
      </c>
      <c r="I62" s="87">
        <v>0</v>
      </c>
      <c r="J62" s="87">
        <v>0</v>
      </c>
      <c r="K62" s="87">
        <v>0</v>
      </c>
      <c r="L62" s="90">
        <f t="shared" si="34"/>
        <v>0</v>
      </c>
      <c r="M62" s="90">
        <f t="shared" ref="M62:P62" si="37">L62</f>
        <v>0</v>
      </c>
      <c r="N62" s="90">
        <f t="shared" si="37"/>
        <v>0</v>
      </c>
      <c r="O62" s="90">
        <f t="shared" si="37"/>
        <v>0</v>
      </c>
      <c r="P62" s="90">
        <f t="shared" si="37"/>
        <v>0</v>
      </c>
    </row>
    <row r="63" spans="1:16" x14ac:dyDescent="0.3">
      <c r="A63" s="87" t="s">
        <v>97</v>
      </c>
      <c r="B63" s="87">
        <v>232</v>
      </c>
      <c r="C63" s="87">
        <v>301</v>
      </c>
      <c r="D63" s="87">
        <v>141</v>
      </c>
      <c r="E63" s="87">
        <v>18</v>
      </c>
      <c r="F63" s="87">
        <v>19</v>
      </c>
      <c r="G63" s="87">
        <v>29</v>
      </c>
      <c r="H63" s="87">
        <v>241</v>
      </c>
      <c r="I63" s="87">
        <v>245</v>
      </c>
      <c r="J63" s="87">
        <v>247</v>
      </c>
      <c r="K63" s="87">
        <v>462</v>
      </c>
      <c r="L63" s="90">
        <f t="shared" si="34"/>
        <v>462</v>
      </c>
      <c r="M63" s="90">
        <f t="shared" ref="M63:P63" si="38">L63</f>
        <v>462</v>
      </c>
      <c r="N63" s="90">
        <f t="shared" si="38"/>
        <v>462</v>
      </c>
      <c r="O63" s="90">
        <f t="shared" si="38"/>
        <v>462</v>
      </c>
      <c r="P63" s="90">
        <f t="shared" si="38"/>
        <v>462</v>
      </c>
    </row>
    <row r="64" spans="1:16" x14ac:dyDescent="0.3">
      <c r="A64" s="87" t="s">
        <v>98</v>
      </c>
      <c r="B64" s="87">
        <v>14</v>
      </c>
      <c r="C64" s="87">
        <v>10</v>
      </c>
      <c r="D64" s="87">
        <v>0</v>
      </c>
      <c r="E64" s="87">
        <v>0</v>
      </c>
      <c r="F64" s="87">
        <v>0</v>
      </c>
      <c r="G64" s="87">
        <v>561</v>
      </c>
      <c r="H64" s="87">
        <v>634</v>
      </c>
      <c r="I64" s="87">
        <v>741</v>
      </c>
      <c r="J64" s="87">
        <v>902</v>
      </c>
      <c r="K64" s="87">
        <v>1119</v>
      </c>
      <c r="L64" s="90">
        <f t="shared" si="34"/>
        <v>1119</v>
      </c>
      <c r="M64" s="90">
        <f t="shared" ref="M64:P64" si="39">L64</f>
        <v>1119</v>
      </c>
      <c r="N64" s="90">
        <f t="shared" si="39"/>
        <v>1119</v>
      </c>
      <c r="O64" s="90">
        <f t="shared" si="39"/>
        <v>1119</v>
      </c>
      <c r="P64" s="90">
        <f t="shared" si="39"/>
        <v>1119</v>
      </c>
    </row>
    <row r="65" spans="1:16" x14ac:dyDescent="0.3">
      <c r="A65" s="87" t="s">
        <v>29</v>
      </c>
      <c r="B65" s="91">
        <v>149</v>
      </c>
      <c r="C65" s="91">
        <v>188</v>
      </c>
      <c r="D65" s="91">
        <v>153</v>
      </c>
      <c r="E65" s="91">
        <v>587</v>
      </c>
      <c r="F65" s="91">
        <v>548</v>
      </c>
      <c r="G65" s="91">
        <v>664</v>
      </c>
      <c r="H65" s="91">
        <v>971</v>
      </c>
      <c r="I65" s="91">
        <v>1106</v>
      </c>
      <c r="J65" s="91">
        <v>1448</v>
      </c>
      <c r="K65" s="91">
        <v>1506</v>
      </c>
      <c r="L65" s="92">
        <f t="shared" si="34"/>
        <v>1506</v>
      </c>
      <c r="M65" s="92">
        <f t="shared" ref="M65:P65" si="40">L65</f>
        <v>1506</v>
      </c>
      <c r="N65" s="92">
        <f t="shared" si="40"/>
        <v>1506</v>
      </c>
      <c r="O65" s="92">
        <f t="shared" si="40"/>
        <v>1506</v>
      </c>
      <c r="P65" s="92">
        <f t="shared" si="40"/>
        <v>1506</v>
      </c>
    </row>
    <row r="66" spans="1:16" x14ac:dyDescent="0.3">
      <c r="A66" s="87" t="s">
        <v>99</v>
      </c>
      <c r="B66" s="87">
        <f>SUM(B60:B65)</f>
        <v>1887</v>
      </c>
      <c r="C66" s="87">
        <f t="shared" ref="C66:K66" si="41">SUM(C60:C65)</f>
        <v>550</v>
      </c>
      <c r="D66" s="87">
        <f t="shared" si="41"/>
        <v>2291</v>
      </c>
      <c r="E66" s="87">
        <f t="shared" si="41"/>
        <v>2617</v>
      </c>
      <c r="F66" s="87">
        <f t="shared" si="41"/>
        <v>2621</v>
      </c>
      <c r="G66" s="87">
        <f t="shared" si="41"/>
        <v>3327</v>
      </c>
      <c r="H66" s="87">
        <f t="shared" si="41"/>
        <v>7973</v>
      </c>
      <c r="I66" s="87">
        <f t="shared" si="41"/>
        <v>13240</v>
      </c>
      <c r="J66" s="87">
        <f t="shared" si="41"/>
        <v>12518</v>
      </c>
      <c r="K66" s="87">
        <f t="shared" si="41"/>
        <v>12119</v>
      </c>
      <c r="L66" s="90">
        <f>SUM(L60:L65)</f>
        <v>12119</v>
      </c>
      <c r="M66" s="90">
        <f t="shared" ref="M66:P66" si="42">SUM(M60:M65)</f>
        <v>12119</v>
      </c>
      <c r="N66" s="90">
        <f t="shared" si="42"/>
        <v>12119</v>
      </c>
      <c r="O66" s="90">
        <f t="shared" si="42"/>
        <v>12119</v>
      </c>
      <c r="P66" s="90">
        <f t="shared" si="42"/>
        <v>12119</v>
      </c>
    </row>
    <row r="67" spans="1:16" x14ac:dyDescent="0.3"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2"/>
      <c r="M67" s="92"/>
      <c r="N67" s="92"/>
      <c r="O67" s="92"/>
      <c r="P67" s="92"/>
    </row>
    <row r="68" spans="1:16" x14ac:dyDescent="0.3">
      <c r="A68" s="87" t="s">
        <v>100</v>
      </c>
      <c r="B68" s="87">
        <f t="shared" ref="B68:K68" si="43">B56+B66</f>
        <v>2783</v>
      </c>
      <c r="C68" s="87">
        <f t="shared" si="43"/>
        <v>2901</v>
      </c>
      <c r="D68" s="87">
        <f t="shared" si="43"/>
        <v>4079</v>
      </c>
      <c r="E68" s="87">
        <f t="shared" si="43"/>
        <v>3770</v>
      </c>
      <c r="F68" s="87">
        <f t="shared" si="43"/>
        <v>3950</v>
      </c>
      <c r="G68" s="87">
        <f t="shared" si="43"/>
        <v>5111</v>
      </c>
      <c r="H68" s="87">
        <f t="shared" si="43"/>
        <v>11898</v>
      </c>
      <c r="I68" s="87">
        <f t="shared" si="43"/>
        <v>17575</v>
      </c>
      <c r="J68" s="87">
        <f t="shared" si="43"/>
        <v>19081</v>
      </c>
      <c r="K68" s="87">
        <f t="shared" si="43"/>
        <v>22750</v>
      </c>
      <c r="L68" s="90">
        <f>L56+L58+L66</f>
        <v>7217919.5000000009</v>
      </c>
      <c r="M68" s="90">
        <f t="shared" ref="M68:P68" si="44">M56+M58+M66</f>
        <v>14784939.583333336</v>
      </c>
      <c r="N68" s="90">
        <f t="shared" si="44"/>
        <v>18509812.199999999</v>
      </c>
      <c r="O68" s="90">
        <f t="shared" si="44"/>
        <v>26987108.5</v>
      </c>
      <c r="P68" s="90">
        <f t="shared" si="44"/>
        <v>27565105.975000001</v>
      </c>
    </row>
    <row r="69" spans="1:16" x14ac:dyDescent="0.3">
      <c r="L69" s="90"/>
      <c r="M69" s="90"/>
      <c r="N69" s="90"/>
      <c r="O69" s="90"/>
      <c r="P69" s="90"/>
    </row>
    <row r="70" spans="1:16" x14ac:dyDescent="0.3">
      <c r="A70" s="87" t="s">
        <v>101</v>
      </c>
      <c r="B70" s="87">
        <v>4418</v>
      </c>
      <c r="C70" s="87">
        <v>4469</v>
      </c>
      <c r="D70" s="87">
        <v>5762</v>
      </c>
      <c r="E70" s="87">
        <v>7471</v>
      </c>
      <c r="F70" s="87">
        <v>9342</v>
      </c>
      <c r="G70" s="87">
        <v>12204</v>
      </c>
      <c r="H70" s="87">
        <v>16893</v>
      </c>
      <c r="I70" s="87">
        <v>26612</v>
      </c>
      <c r="J70" s="87">
        <v>22101</v>
      </c>
      <c r="K70" s="87">
        <v>42978</v>
      </c>
      <c r="L70" s="90">
        <f>K70+L21</f>
        <v>61988.536300000007</v>
      </c>
      <c r="M70" s="90">
        <f t="shared" ref="M70:P70" si="45">L70+M21</f>
        <v>83502.664390000005</v>
      </c>
      <c r="N70" s="90">
        <f t="shared" si="45"/>
        <v>108894.84551200001</v>
      </c>
      <c r="O70" s="90">
        <f t="shared" si="45"/>
        <v>140107.151182</v>
      </c>
      <c r="P70" s="90">
        <f t="shared" si="45"/>
        <v>180012.22885075002</v>
      </c>
    </row>
    <row r="71" spans="1:16" x14ac:dyDescent="0.3">
      <c r="L71" s="90"/>
      <c r="M71" s="90"/>
      <c r="N71" s="90"/>
      <c r="O71" s="90"/>
      <c r="P71" s="90"/>
    </row>
    <row r="72" spans="1:16" ht="16.2" thickBot="1" x14ac:dyDescent="0.35">
      <c r="A72" s="87" t="s">
        <v>102</v>
      </c>
      <c r="B72" s="94">
        <f t="shared" ref="B72:K72" si="46">B68+B70</f>
        <v>7201</v>
      </c>
      <c r="C72" s="94">
        <f t="shared" si="46"/>
        <v>7370</v>
      </c>
      <c r="D72" s="94">
        <f t="shared" si="46"/>
        <v>9841</v>
      </c>
      <c r="E72" s="94">
        <f t="shared" si="46"/>
        <v>11241</v>
      </c>
      <c r="F72" s="94">
        <f t="shared" si="46"/>
        <v>13292</v>
      </c>
      <c r="G72" s="94">
        <f t="shared" si="46"/>
        <v>17315</v>
      </c>
      <c r="H72" s="94">
        <f t="shared" si="46"/>
        <v>28791</v>
      </c>
      <c r="I72" s="94">
        <f t="shared" si="46"/>
        <v>44187</v>
      </c>
      <c r="J72" s="94">
        <f t="shared" si="46"/>
        <v>41182</v>
      </c>
      <c r="K72" s="94">
        <f t="shared" si="46"/>
        <v>65728</v>
      </c>
      <c r="L72" s="95">
        <f>L68+L70</f>
        <v>7279908.0363000007</v>
      </c>
      <c r="M72" s="95">
        <f t="shared" ref="M72:P72" si="47">M68+M70</f>
        <v>14868442.247723335</v>
      </c>
      <c r="N72" s="95">
        <f t="shared" si="47"/>
        <v>18618707.045511998</v>
      </c>
      <c r="O72" s="95">
        <f t="shared" si="47"/>
        <v>27127215.651182</v>
      </c>
      <c r="P72" s="95">
        <f t="shared" si="47"/>
        <v>27745118.20385075</v>
      </c>
    </row>
    <row r="73" spans="1:16" ht="16.2" thickTop="1" x14ac:dyDescent="0.3"/>
    <row r="74" spans="1:16" x14ac:dyDescent="0.3">
      <c r="A74" s="87" t="s">
        <v>111</v>
      </c>
      <c r="L74" s="87">
        <f>L46-L72</f>
        <v>0</v>
      </c>
      <c r="M74" s="87">
        <f t="shared" ref="M74:P74" si="48">M46-M72</f>
        <v>0</v>
      </c>
      <c r="N74" s="87">
        <f t="shared" si="48"/>
        <v>0</v>
      </c>
      <c r="O74" s="87">
        <f t="shared" si="48"/>
        <v>0</v>
      </c>
      <c r="P74" s="87">
        <f t="shared" si="48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0"/>
  <sheetViews>
    <sheetView showGridLines="0" zoomScale="82" zoomScaleNormal="82" workbookViewId="0">
      <selection activeCell="U13" sqref="U13"/>
    </sheetView>
  </sheetViews>
  <sheetFormatPr defaultColWidth="11" defaultRowHeight="15.6" x14ac:dyDescent="0.3"/>
  <cols>
    <col min="1" max="1" width="2.8984375" customWidth="1"/>
    <col min="2" max="2" width="34.19921875" bestFit="1" customWidth="1"/>
    <col min="3" max="3" width="10.796875" style="9" bestFit="1" customWidth="1"/>
    <col min="4" max="12" width="11" style="9"/>
  </cols>
  <sheetData>
    <row r="2" spans="2:17" x14ac:dyDescent="0.3">
      <c r="B2" s="1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17" x14ac:dyDescent="0.3">
      <c r="B3" s="47"/>
      <c r="C3" s="62">
        <v>42005</v>
      </c>
      <c r="D3" s="62">
        <v>42370</v>
      </c>
      <c r="E3" s="62">
        <v>42736</v>
      </c>
      <c r="F3" s="62">
        <v>43101</v>
      </c>
      <c r="G3" s="62">
        <v>43466</v>
      </c>
      <c r="H3" s="62">
        <v>43831</v>
      </c>
      <c r="I3" s="62">
        <v>44197</v>
      </c>
      <c r="J3" s="62">
        <v>44562</v>
      </c>
      <c r="K3" s="62">
        <v>44927</v>
      </c>
      <c r="L3" s="62">
        <v>45292</v>
      </c>
      <c r="M3" s="62">
        <v>45658</v>
      </c>
      <c r="N3" s="62">
        <v>46023</v>
      </c>
      <c r="O3" s="62">
        <v>46388</v>
      </c>
      <c r="P3" s="62">
        <v>46753</v>
      </c>
      <c r="Q3" s="62">
        <v>47119</v>
      </c>
    </row>
    <row r="4" spans="2:17" x14ac:dyDescent="0.3">
      <c r="B4" s="6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2:17" x14ac:dyDescent="0.3">
      <c r="B5" s="4" t="s">
        <v>2</v>
      </c>
      <c r="C5" s="16">
        <f>'Financial Statements'!B34/'Financial Statements'!B56</f>
        <v>6.3761160714285712</v>
      </c>
      <c r="D5" s="16">
        <f>'Financial Statements'!C34/'Financial Statements'!C56</f>
        <v>2.5746490854955337</v>
      </c>
      <c r="E5" s="16">
        <f>'Financial Statements'!D34/'Financial Statements'!D56</f>
        <v>4.7740492170022373</v>
      </c>
      <c r="F5" s="16">
        <f>'Financial Statements'!E34/'Financial Statements'!E56</f>
        <v>8.0268863833477884</v>
      </c>
      <c r="G5" s="16">
        <f>'Financial Statements'!F34/'Financial Statements'!F56</f>
        <v>7.9435665914221216</v>
      </c>
      <c r="H5" s="16">
        <f>'Financial Statements'!G34/'Financial Statements'!G56</f>
        <v>7.6737668161434973</v>
      </c>
      <c r="I5" s="16">
        <f>'Financial Statements'!H34/'Financial Statements'!H56</f>
        <v>4.0904458598726112</v>
      </c>
      <c r="J5" s="16">
        <f>'Financial Statements'!I34/'Financial Statements'!I56</f>
        <v>6.6502883506343711</v>
      </c>
      <c r="K5" s="16">
        <f>'Financial Statements'!J34/'Financial Statements'!J56</f>
        <v>3.5156178576870332</v>
      </c>
      <c r="L5" s="16">
        <f>'Financial Statements'!K34/'Financial Statements'!K56</f>
        <v>4.1712915059730973</v>
      </c>
      <c r="M5" s="54">
        <f>'Financial Statements'!L34/'Financial Statements'!L56</f>
        <v>2.7900106310187189E-3</v>
      </c>
      <c r="N5" s="54">
        <f>'Financial Statements'!M34/'Financial Statements'!M56</f>
        <v>1.5650294315551238E-3</v>
      </c>
      <c r="O5" s="54">
        <f>'Financial Statements'!N34/'Financial Statements'!N56</f>
        <v>1.4998561442245136E-3</v>
      </c>
      <c r="P5" s="54">
        <f>'Financial Statements'!O34/'Financial Statements'!O56</f>
        <v>1.2856297311997101E-3</v>
      </c>
      <c r="Q5" s="54">
        <f>'Financial Statements'!P34/'Financial Statements'!P56</f>
        <v>1.6362582790354621E-3</v>
      </c>
    </row>
    <row r="6" spans="2:17" x14ac:dyDescent="0.3">
      <c r="B6" s="5"/>
      <c r="C6" s="17"/>
      <c r="D6" s="17"/>
      <c r="E6" s="17"/>
      <c r="F6" s="17"/>
      <c r="G6" s="17"/>
      <c r="H6" s="17"/>
      <c r="I6" s="17"/>
      <c r="J6" s="17"/>
      <c r="K6" s="17"/>
      <c r="L6" s="17"/>
      <c r="M6" s="55"/>
      <c r="N6" s="55"/>
      <c r="O6" s="55"/>
      <c r="P6" s="55"/>
      <c r="Q6" s="55"/>
    </row>
    <row r="7" spans="2:17" x14ac:dyDescent="0.3">
      <c r="B7" s="3" t="s">
        <v>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56"/>
      <c r="N7" s="56"/>
      <c r="O7" s="56"/>
      <c r="P7" s="56"/>
      <c r="Q7" s="56"/>
    </row>
    <row r="8" spans="2:17" x14ac:dyDescent="0.3">
      <c r="B8" s="4" t="s">
        <v>4</v>
      </c>
      <c r="C8" s="16">
        <f>'Financial Statements'!B6/'Financial Statements'!B30</f>
        <v>9.8776371308016877</v>
      </c>
      <c r="D8" s="16">
        <f>'Financial Statements'!C6/'Financial Statements'!C30</f>
        <v>9.9207920792079207</v>
      </c>
      <c r="E8" s="16">
        <f>'Financial Statements'!D6/'Financial Statements'!D30</f>
        <v>8.3656174334140427</v>
      </c>
      <c r="F8" s="16">
        <f>'Financial Statements'!E6/'Financial Statements'!E30</f>
        <v>7.6790513833992096</v>
      </c>
      <c r="G8" s="16">
        <f>'Financial Statements'!F6/'Financial Statements'!F30</f>
        <v>8.22752808988764</v>
      </c>
      <c r="H8" s="16">
        <f>'Financial Statements'!G6/'Financial Statements'!G30</f>
        <v>6.5890162945081476</v>
      </c>
      <c r="I8" s="16">
        <f>'Financial Statements'!H6/'Financial Statements'!H30</f>
        <v>6.8649650061753809</v>
      </c>
      <c r="J8" s="16">
        <f>'Financial Statements'!I6/'Financial Statements'!I30</f>
        <v>5.7879569892473119</v>
      </c>
      <c r="K8" s="16">
        <f>'Financial Statements'!J6/'Financial Statements'!J30</f>
        <v>7.0483407368696103</v>
      </c>
      <c r="L8" s="16">
        <f>'Financial Statements'!K6/'Financial Statements'!K30</f>
        <v>6.0928092809280932</v>
      </c>
      <c r="M8" s="54">
        <f>'Financial Statements'!L6/'Financial Statements'!L30</f>
        <v>6.2499999999999991</v>
      </c>
      <c r="N8" s="54">
        <f>'Financial Statements'!M6/'Financial Statements'!M30</f>
        <v>6.25</v>
      </c>
      <c r="O8" s="54">
        <f>'Financial Statements'!N6/'Financial Statements'!N30</f>
        <v>6.25</v>
      </c>
      <c r="P8" s="54">
        <f>'Financial Statements'!O6/'Financial Statements'!O30</f>
        <v>6.25</v>
      </c>
      <c r="Q8" s="54">
        <f>'Financial Statements'!P6/'Financial Statements'!P30</f>
        <v>6.25</v>
      </c>
    </row>
    <row r="9" spans="2:17" x14ac:dyDescent="0.3">
      <c r="B9" s="4" t="s">
        <v>5</v>
      </c>
      <c r="C9" s="16">
        <f>'Financial Statements'!B30/'Financial Statements'!B6*365</f>
        <v>36.952157197778725</v>
      </c>
      <c r="D9" s="16">
        <f>'Financial Statements'!C30/'Financial Statements'!C6*365</f>
        <v>36.791417165668662</v>
      </c>
      <c r="E9" s="16">
        <f>'Financial Statements'!D30/'Financial Statements'!D6*365</f>
        <v>43.630969609261939</v>
      </c>
      <c r="F9" s="16">
        <f>'Financial Statements'!E30/'Financial Statements'!E6*365</f>
        <v>47.531912703314802</v>
      </c>
      <c r="G9" s="16">
        <f>'Financial Statements'!F30/'Financial Statements'!F6*365</f>
        <v>44.363263912598157</v>
      </c>
      <c r="H9" s="16">
        <f>'Financial Statements'!G30/'Financial Statements'!G6*365</f>
        <v>55.395218904561268</v>
      </c>
      <c r="I9" s="16">
        <f>'Financial Statements'!H30/'Financial Statements'!H6*365</f>
        <v>53.168515742128939</v>
      </c>
      <c r="J9" s="16">
        <f>'Financial Statements'!I30/'Financial Statements'!I6*365</f>
        <v>63.061975180203611</v>
      </c>
      <c r="K9" s="16">
        <f>'Financial Statements'!J30/'Financial Statements'!J6*365</f>
        <v>51.785237636242307</v>
      </c>
      <c r="L9" s="16">
        <f>'Financial Statements'!K30/'Financial Statements'!K6*365</f>
        <v>59.906683956534586</v>
      </c>
      <c r="M9" s="54">
        <f>'Financial Statements'!L30/'Financial Statements'!L6*365</f>
        <v>58.4</v>
      </c>
      <c r="N9" s="54">
        <f>'Financial Statements'!M30/'Financial Statements'!M6*365</f>
        <v>58.4</v>
      </c>
      <c r="O9" s="54">
        <f>'Financial Statements'!N30/'Financial Statements'!N6*365</f>
        <v>58.4</v>
      </c>
      <c r="P9" s="54">
        <f>'Financial Statements'!O30/'Financial Statements'!O6*365</f>
        <v>58.399999999999991</v>
      </c>
      <c r="Q9" s="54">
        <f>'Financial Statements'!P30/'Financial Statements'!P6*365</f>
        <v>58.4</v>
      </c>
    </row>
    <row r="10" spans="2:17" x14ac:dyDescent="0.3">
      <c r="B10" s="4" t="s">
        <v>6</v>
      </c>
      <c r="C10" s="16">
        <f>'Financial Statements'!B6/'Financial Statements'!B38</f>
        <v>8.4057450628366244</v>
      </c>
      <c r="D10" s="16">
        <f>'Financial Statements'!C6/'Financial Statements'!C38</f>
        <v>10.75107296137339</v>
      </c>
      <c r="E10" s="16">
        <f>'Financial Statements'!D6/'Financial Statements'!D38</f>
        <v>13.26295585412668</v>
      </c>
      <c r="F10" s="16">
        <f>'Financial Statements'!E6/'Financial Statements'!E38</f>
        <v>9.743229689067201</v>
      </c>
      <c r="G10" s="16">
        <f>'Financial Statements'!F6/'Financial Statements'!F38</f>
        <v>8.3447293447293447</v>
      </c>
      <c r="H10" s="16">
        <f>'Financial Statements'!G6/'Financial Statements'!G38</f>
        <v>4.7635253054101225</v>
      </c>
      <c r="I10" s="16">
        <f>'Financial Statements'!H6/'Financial Statements'!H38</f>
        <v>5.8385854341736696</v>
      </c>
      <c r="J10" s="16">
        <f>'Financial Statements'!I6/'Financial Statements'!I38</f>
        <v>7.4616024397005818</v>
      </c>
      <c r="K10" s="16">
        <f>'Financial Statements'!J6/'Financial Statements'!J38</f>
        <v>5.5673890608875132</v>
      </c>
      <c r="L10" s="16">
        <f>'Financial Statements'!K6/'Financial Statements'!K38</f>
        <v>11.582129277566541</v>
      </c>
      <c r="M10" s="54">
        <f>'Financial Statements'!L6/'Financial Statements'!L38</f>
        <v>5.5555555555555554</v>
      </c>
      <c r="N10" s="54">
        <f>'Financial Statements'!M6/'Financial Statements'!M38</f>
        <v>5.5555555555555562</v>
      </c>
      <c r="O10" s="54">
        <f>'Financial Statements'!N6/'Financial Statements'!N38</f>
        <v>5.5555555555555554</v>
      </c>
      <c r="P10" s="54">
        <f>'Financial Statements'!O6/'Financial Statements'!O38</f>
        <v>5.5555555555555562</v>
      </c>
      <c r="Q10" s="54">
        <f>'Financial Statements'!P6/'Financial Statements'!P38</f>
        <v>5.5555555555555554</v>
      </c>
    </row>
    <row r="11" spans="2:17" x14ac:dyDescent="0.3">
      <c r="B11" s="4" t="s">
        <v>7</v>
      </c>
      <c r="C11" s="16">
        <f>'Financial Statements'!B6/'Financial Statements'!B46</f>
        <v>0.65018747396194976</v>
      </c>
      <c r="D11" s="16">
        <f>'Financial Statements'!C6/'Financial Statements'!C46</f>
        <v>0.67978290366350069</v>
      </c>
      <c r="E11" s="16">
        <f>'Financial Statements'!D6/'Financial Statements'!D46</f>
        <v>0.7021644141855502</v>
      </c>
      <c r="F11" s="16">
        <f>'Financial Statements'!E6/'Financial Statements'!E46</f>
        <v>0.86415799306111551</v>
      </c>
      <c r="G11" s="16">
        <f>'Financial Statements'!F6/'Financial Statements'!F46</f>
        <v>0.88143244056575387</v>
      </c>
      <c r="H11" s="16">
        <f>'Financial Statements'!G6/'Financial Statements'!G46</f>
        <v>0.63055154490326304</v>
      </c>
      <c r="I11" s="16">
        <f>'Financial Statements'!H6/'Financial Statements'!H46</f>
        <v>0.57917404744538226</v>
      </c>
      <c r="J11" s="16">
        <f>'Financial Statements'!I6/'Financial Statements'!I46</f>
        <v>0.60909317219996828</v>
      </c>
      <c r="K11" s="16">
        <f>'Financial Statements'!J6/'Financial Statements'!J46</f>
        <v>0.65499490068476518</v>
      </c>
      <c r="L11" s="16">
        <f>'Financial Statements'!K6/'Financial Statements'!K46</f>
        <v>0.92688047711781885</v>
      </c>
      <c r="M11" s="54">
        <f>'Financial Statements'!L6/'Financial Statements'!L46</f>
        <v>9.2053635383641252E-3</v>
      </c>
      <c r="N11" s="54">
        <f>'Financial Statements'!M6/'Financial Statements'!M46</f>
        <v>5.183214805962638E-3</v>
      </c>
      <c r="O11" s="54">
        <f>'Financial Statements'!N6/'Financial Statements'!N46</f>
        <v>4.9670256787402445E-3</v>
      </c>
      <c r="P11" s="54">
        <f>'Financial Statements'!O6/'Financial Statements'!O46</f>
        <v>4.2613844519263462E-3</v>
      </c>
      <c r="Q11" s="54">
        <f>'Financial Statements'!P6/'Financial Statements'!P46</f>
        <v>5.4164246984229007E-3</v>
      </c>
    </row>
    <row r="12" spans="2:17" x14ac:dyDescent="0.3">
      <c r="B12" s="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55"/>
      <c r="N12" s="55"/>
      <c r="O12" s="55"/>
      <c r="P12" s="55"/>
      <c r="Q12" s="55"/>
    </row>
    <row r="13" spans="2:17" x14ac:dyDescent="0.3">
      <c r="B13" s="3" t="s">
        <v>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56"/>
      <c r="N13" s="56"/>
      <c r="O13" s="56"/>
      <c r="P13" s="56"/>
      <c r="Q13" s="56"/>
    </row>
    <row r="14" spans="2:17" x14ac:dyDescent="0.3">
      <c r="B14" s="4" t="s">
        <v>9</v>
      </c>
      <c r="C14" s="16">
        <f>'Financial Statements'!B68/'Financial Statements'!B46</f>
        <v>0.38647410081933065</v>
      </c>
      <c r="D14" s="16">
        <f>'Financial Statements'!C68/'Financial Statements'!C46</f>
        <v>0.39362279511533244</v>
      </c>
      <c r="E14" s="16">
        <f>'Financial Statements'!D68/'Financial Statements'!D46</f>
        <v>0.41449039731734577</v>
      </c>
      <c r="F14" s="16">
        <f>'Financial Statements'!E68/'Financial Statements'!E46</f>
        <v>0.33537941464282539</v>
      </c>
      <c r="G14" s="16">
        <f>'Financial Statements'!F68/'Financial Statements'!F46</f>
        <v>0.29717123081552815</v>
      </c>
      <c r="H14" s="16">
        <f>'Financial Statements'!G68/'Financial Statements'!G46</f>
        <v>0.29517759168351143</v>
      </c>
      <c r="I14" s="16">
        <f>'Financial Statements'!H68/'Financial Statements'!H46</f>
        <v>0.41325414191934978</v>
      </c>
      <c r="J14" s="16">
        <f>'Financial Statements'!I68/'Financial Statements'!I46</f>
        <v>0.39774141715889288</v>
      </c>
      <c r="K14" s="16">
        <f>'Financial Statements'!J68/'Financial Statements'!J46</f>
        <v>0.46333349521635664</v>
      </c>
      <c r="L14" s="16">
        <f>'Financial Statements'!K68/'Financial Statements'!K46</f>
        <v>0.346123417721519</v>
      </c>
      <c r="M14" s="54">
        <f>'Financial Statements'!L68/'Financial Statements'!L46</f>
        <v>0.99148498360269044</v>
      </c>
      <c r="N14" s="54">
        <f>'Financial Statements'!M68/'Financial Statements'!M46</f>
        <v>0.99438389960435936</v>
      </c>
      <c r="O14" s="54">
        <f>'Financial Statements'!N68/'Financial Statements'!N46</f>
        <v>0.99415132075251977</v>
      </c>
      <c r="P14" s="54">
        <f>'Financial Statements'!O68/'Financial Statements'!O46</f>
        <v>0.99483518128127923</v>
      </c>
      <c r="Q14" s="54">
        <f>'Financial Statements'!P68/'Financial Statements'!P46</f>
        <v>0.99351193144941208</v>
      </c>
    </row>
    <row r="15" spans="2:17" x14ac:dyDescent="0.3">
      <c r="B15" s="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55"/>
      <c r="N15" s="55"/>
      <c r="O15" s="55"/>
      <c r="P15" s="55"/>
      <c r="Q15" s="55"/>
    </row>
    <row r="16" spans="2:17" x14ac:dyDescent="0.3">
      <c r="B16" s="6" t="s">
        <v>10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57"/>
      <c r="N16" s="57"/>
      <c r="O16" s="57"/>
      <c r="P16" s="57"/>
      <c r="Q16" s="57"/>
    </row>
    <row r="17" spans="2:17" x14ac:dyDescent="0.3">
      <c r="B17" s="4" t="s">
        <v>11</v>
      </c>
      <c r="C17" s="18">
        <f>'Financial Statements'!B8/'Financial Statements'!B6</f>
        <v>0.55510465612985904</v>
      </c>
      <c r="D17" s="18">
        <f>'Financial Statements'!C8/'Financial Statements'!C6</f>
        <v>0.56107784431137719</v>
      </c>
      <c r="E17" s="18">
        <f>'Financial Statements'!D8/'Financial Statements'!D6</f>
        <v>0.58798842257597683</v>
      </c>
      <c r="F17" s="18">
        <f>'Financial Statements'!E8/'Financial Statements'!E6</f>
        <v>0.59934115709285563</v>
      </c>
      <c r="G17" s="18">
        <f>'Financial Statements'!F8/'Financial Statements'!F6</f>
        <v>0.61206896551724133</v>
      </c>
      <c r="H17" s="18">
        <f>'Financial Statements'!G8/'Financial Statements'!G6</f>
        <v>0.61989375343469499</v>
      </c>
      <c r="I17" s="18">
        <f>'Financial Statements'!H8/'Financial Statements'!H6</f>
        <v>0.63310344827586207</v>
      </c>
      <c r="J17" s="18">
        <f>'Financial Statements'!I8/'Financial Statements'!I6</f>
        <v>0.64929033216913135</v>
      </c>
      <c r="K17" s="18">
        <f>'Financial Statements'!J8/'Financial Statements'!J6</f>
        <v>0.56928894490991322</v>
      </c>
      <c r="L17" s="18">
        <f>'Financial Statements'!K8/'Financial Statements'!K6</f>
        <v>0.72717573290436954</v>
      </c>
      <c r="M17" s="57">
        <f>'Financial Statements'!L8/'Financial Statements'!L6</f>
        <v>0.65</v>
      </c>
      <c r="N17" s="57">
        <f>'Financial Statements'!M8/'Financial Statements'!M6</f>
        <v>0.65</v>
      </c>
      <c r="O17" s="57">
        <f>'Financial Statements'!N8/'Financial Statements'!N6</f>
        <v>0.65</v>
      </c>
      <c r="P17" s="57">
        <f>'Financial Statements'!O8/'Financial Statements'!O6</f>
        <v>0.65</v>
      </c>
      <c r="Q17" s="57">
        <f>'Financial Statements'!P8/'Financial Statements'!P6</f>
        <v>0.65</v>
      </c>
    </row>
    <row r="18" spans="2:17" x14ac:dyDescent="0.3">
      <c r="B18" s="4" t="s">
        <v>12</v>
      </c>
      <c r="C18" s="18">
        <f>'Financial Statements'!B13/'Financial Statements'!B6</f>
        <v>0.16211020931225972</v>
      </c>
      <c r="D18" s="18">
        <f>'Financial Statements'!C13/'Financial Statements'!C6</f>
        <v>0.17524950099800399</v>
      </c>
      <c r="E18" s="18">
        <f>'Financial Statements'!D13/'Financial Statements'!D6</f>
        <v>0.28031837916063673</v>
      </c>
      <c r="F18" s="18">
        <f>'Financial Statements'!E13/'Financial Statements'!E6</f>
        <v>0.33045089561457691</v>
      </c>
      <c r="G18" s="18">
        <f>'Financial Statements'!F13/'Financial Statements'!F6</f>
        <v>0.32468419255718678</v>
      </c>
      <c r="H18" s="18">
        <f>'Financial Statements'!G13/'Financial Statements'!G6</f>
        <v>0.2606704524638212</v>
      </c>
      <c r="I18" s="18">
        <f>'Financial Statements'!H13/'Financial Statements'!H6</f>
        <v>0.28311844077961018</v>
      </c>
      <c r="J18" s="18">
        <f>'Financial Statements'!I13/'Financial Statements'!I6</f>
        <v>0.37307720888756779</v>
      </c>
      <c r="K18" s="18">
        <f>'Financial Statements'!J13/'Financial Statements'!J6</f>
        <v>0.20675465262845702</v>
      </c>
      <c r="L18" s="18">
        <f>'Financial Statements'!K13/'Financial Statements'!K6</f>
        <v>0.54121663766783756</v>
      </c>
      <c r="M18" s="57">
        <f>'Financial Statements'!L13/'Financial Statements'!L6</f>
        <v>0.35000000000000003</v>
      </c>
      <c r="N18" s="57">
        <f>'Financial Statements'!M13/'Financial Statements'!M6</f>
        <v>0.35000000000000003</v>
      </c>
      <c r="O18" s="57">
        <f>'Financial Statements'!N13/'Financial Statements'!N6</f>
        <v>0.35000000000000003</v>
      </c>
      <c r="P18" s="57">
        <f>'Financial Statements'!O13/'Financial Statements'!O6</f>
        <v>0.35</v>
      </c>
      <c r="Q18" s="57">
        <f>'Financial Statements'!P13/'Financial Statements'!P6</f>
        <v>0.35000000000000003</v>
      </c>
    </row>
    <row r="19" spans="2:17" x14ac:dyDescent="0.3">
      <c r="B19" s="4" t="s">
        <v>13</v>
      </c>
      <c r="C19" s="18">
        <f>'Financial Statements'!B21/'Financial Statements'!B6</f>
        <v>0.13477146518581803</v>
      </c>
      <c r="D19" s="18">
        <f>'Financial Statements'!C21/'Financial Statements'!C6</f>
        <v>0.12255489021956088</v>
      </c>
      <c r="E19" s="18">
        <f>'Financial Statements'!D21/'Financial Statements'!D6</f>
        <v>0.24109985528219971</v>
      </c>
      <c r="F19" s="18">
        <f>'Financial Statements'!E21/'Financial Statements'!E6</f>
        <v>0.3136709903232448</v>
      </c>
      <c r="G19" s="18">
        <f>'Financial Statements'!F21/'Financial Statements'!F6</f>
        <v>0.35344827586206895</v>
      </c>
      <c r="H19" s="18">
        <f>'Financial Statements'!G21/'Financial Statements'!G6</f>
        <v>0.25609085913170909</v>
      </c>
      <c r="I19" s="18">
        <f>'Financial Statements'!H21/'Financial Statements'!H6</f>
        <v>0.25979010494752625</v>
      </c>
      <c r="J19" s="18">
        <f>'Financial Statements'!I21/'Financial Statements'!I6</f>
        <v>0.36233930296499961</v>
      </c>
      <c r="K19" s="18">
        <f>'Financial Statements'!J21/'Financial Statements'!J6</f>
        <v>0.16193371394676356</v>
      </c>
      <c r="L19" s="18">
        <f>'Financial Statements'!K21/'Financial Statements'!K6</f>
        <v>0.4884934834706674</v>
      </c>
      <c r="M19" s="57">
        <f>'Financial Statements'!L21/'Financial Statements'!L6</f>
        <v>0.28367922470163043</v>
      </c>
      <c r="N19" s="57">
        <f>'Financial Statements'!M21/'Financial Statements'!M6</f>
        <v>0.27916378125181257</v>
      </c>
      <c r="O19" s="57">
        <f>'Financial Statements'!N21/'Financial Statements'!N6</f>
        <v>0.27457063201270909</v>
      </c>
      <c r="P19" s="57">
        <f>'Financial Statements'!O21/'Financial Statements'!O6</f>
        <v>0.27000382371912612</v>
      </c>
      <c r="Q19" s="57">
        <f>'Financial Statements'!P21/'Financial Statements'!P6</f>
        <v>0.26553933986775768</v>
      </c>
    </row>
    <row r="20" spans="2:17" x14ac:dyDescent="0.3">
      <c r="B20" s="4" t="s">
        <v>14</v>
      </c>
      <c r="C20" s="18">
        <f>'Financial Statements'!B21/'Financial Statements'!B46</f>
        <v>8.7626718511317869E-2</v>
      </c>
      <c r="D20" s="18">
        <f>'Financial Statements'!C21/'Financial Statements'!C46</f>
        <v>8.3310719131614655E-2</v>
      </c>
      <c r="E20" s="18">
        <f>'Financial Statements'!D21/'Financial Statements'!D46</f>
        <v>0.16929173864444672</v>
      </c>
      <c r="F20" s="18">
        <f>'Financial Statements'!E21/'Financial Statements'!E46</f>
        <v>0.27106129347922781</v>
      </c>
      <c r="G20" s="18">
        <f>'Financial Statements'!F21/'Financial Statements'!F46</f>
        <v>0.31154077640686129</v>
      </c>
      <c r="H20" s="18">
        <f>'Financial Statements'!G21/'Financial Statements'!G46</f>
        <v>0.16147848686110308</v>
      </c>
      <c r="I20" s="18">
        <f>'Financial Statements'!H21/'Financial Statements'!H46</f>
        <v>0.15046368656871939</v>
      </c>
      <c r="J20" s="18">
        <f>'Financial Statements'!I21/'Financial Statements'!I46</f>
        <v>0.22069839545567702</v>
      </c>
      <c r="K20" s="18">
        <f>'Financial Statements'!J21/'Financial Statements'!J46</f>
        <v>0.10606575688407557</v>
      </c>
      <c r="L20" s="18">
        <f>'Financial Statements'!K21/'Financial Statements'!K46</f>
        <v>0.45277507302823761</v>
      </c>
      <c r="M20" s="57">
        <f>'Financial Statements'!L21/'Financial Statements'!L46</f>
        <v>2.6113703916597923E-3</v>
      </c>
      <c r="N20" s="57">
        <f>'Financial Statements'!M21/'Financial Statements'!M46</f>
        <v>1.4469658442729102E-3</v>
      </c>
      <c r="O20" s="57">
        <f>'Financial Statements'!N21/'Financial Statements'!N46</f>
        <v>1.3637993798350644E-3</v>
      </c>
      <c r="P20" s="57">
        <f>'Financial Statements'!O21/'Financial Statements'!O46</f>
        <v>1.1505900963573461E-3</v>
      </c>
      <c r="Q20" s="57">
        <f>'Financial Statements'!P21/'Financial Statements'!P46</f>
        <v>1.4382738388626353E-3</v>
      </c>
    </row>
    <row r="21" spans="2:17" x14ac:dyDescent="0.3">
      <c r="B21" s="5" t="s">
        <v>15</v>
      </c>
      <c r="C21" s="19">
        <f>'Financial Statements'!B21/'Financial Statements'!B70</f>
        <v>0.14282480760525124</v>
      </c>
      <c r="D21" s="19">
        <f>'Financial Statements'!C21/'Financial Statements'!C70</f>
        <v>0.13739091519355562</v>
      </c>
      <c r="E21" s="19">
        <f>'Financial Statements'!D21/'Financial Statements'!D70</f>
        <v>0.28913571676501215</v>
      </c>
      <c r="F21" s="19">
        <f>'Financial Statements'!E21/'Financial Statements'!E70</f>
        <v>0.40784366216035339</v>
      </c>
      <c r="G21" s="19">
        <f>'Financial Statements'!F21/'Financial Statements'!F70</f>
        <v>0.44326696638835367</v>
      </c>
      <c r="H21" s="19">
        <f>'Financial Statements'!G21/'Financial Statements'!G70</f>
        <v>0.22910521140609635</v>
      </c>
      <c r="I21" s="19">
        <f>'Financial Statements'!H21/'Financial Statements'!H70</f>
        <v>0.25643757769490322</v>
      </c>
      <c r="J21" s="19">
        <f>'Financial Statements'!I21/'Financial Statements'!I70</f>
        <v>0.36645122501127309</v>
      </c>
      <c r="K21" s="19">
        <f>'Financial Statements'!J21/'Financial Statements'!J70</f>
        <v>0.19763811592235644</v>
      </c>
      <c r="L21" s="19">
        <f>'Financial Statements'!K21/'Financial Statements'!K70</f>
        <v>0.69244729861789756</v>
      </c>
      <c r="M21" s="58">
        <f>'Financial Statements'!L21/'Financial Statements'!L70</f>
        <v>0.30667825754098343</v>
      </c>
      <c r="N21" s="58">
        <f>'Financial Statements'!M21/'Financial Statements'!M70</f>
        <v>0.25764600743178756</v>
      </c>
      <c r="O21" s="58">
        <f>'Financial Statements'!N21/'Financial Statements'!N70</f>
        <v>0.23318074425480345</v>
      </c>
      <c r="P21" s="58">
        <f>'Financial Statements'!O21/'Financial Statements'!O70</f>
        <v>0.22277453653636162</v>
      </c>
      <c r="Q21" s="58">
        <f>'Financial Statements'!P21/'Financial Statements'!P70</f>
        <v>0.22167981544095935</v>
      </c>
    </row>
    <row r="22" spans="2:17" x14ac:dyDescent="0.3">
      <c r="B22" s="7" t="s">
        <v>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63"/>
      <c r="N22" s="63"/>
      <c r="O22" s="63"/>
      <c r="P22" s="63"/>
      <c r="Q22" s="63"/>
    </row>
    <row r="23" spans="2:17" x14ac:dyDescent="0.3">
      <c r="B23" s="7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63"/>
      <c r="N23" s="63"/>
      <c r="O23" s="63"/>
      <c r="P23" s="63"/>
      <c r="Q23" s="63"/>
    </row>
    <row r="24" spans="2:17" x14ac:dyDescent="0.3">
      <c r="B24" s="7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63"/>
      <c r="N24" s="63"/>
      <c r="O24" s="63"/>
      <c r="P24" s="63"/>
      <c r="Q24" s="63"/>
    </row>
    <row r="25" spans="2:17" x14ac:dyDescent="0.3">
      <c r="B25" s="1" t="s">
        <v>17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64"/>
      <c r="N25" s="64"/>
      <c r="O25" s="64"/>
      <c r="P25" s="64"/>
      <c r="Q25" s="64"/>
    </row>
    <row r="26" spans="2:17" x14ac:dyDescent="0.3">
      <c r="B26" s="2" t="s">
        <v>18</v>
      </c>
      <c r="C26" s="21">
        <f>'Financial Statements'!B21/'Financial Statements'!B6</f>
        <v>0.13477146518581803</v>
      </c>
      <c r="D26" s="21">
        <f>'Financial Statements'!C21/'Financial Statements'!C6</f>
        <v>0.12255489021956088</v>
      </c>
      <c r="E26" s="21">
        <f>'Financial Statements'!D21/'Financial Statements'!D6</f>
        <v>0.24109985528219971</v>
      </c>
      <c r="F26" s="21">
        <f>'Financial Statements'!E21/'Financial Statements'!E6</f>
        <v>0.3136709903232448</v>
      </c>
      <c r="G26" s="21">
        <f>'Financial Statements'!F21/'Financial Statements'!F6</f>
        <v>0.35344827586206895</v>
      </c>
      <c r="H26" s="21">
        <f>'Financial Statements'!G21/'Financial Statements'!G6</f>
        <v>0.25609085913170909</v>
      </c>
      <c r="I26" s="21">
        <f>'Financial Statements'!H21/'Financial Statements'!H6</f>
        <v>0.25979010494752625</v>
      </c>
      <c r="J26" s="21">
        <f>'Financial Statements'!I21/'Financial Statements'!I6</f>
        <v>0.36233930296499961</v>
      </c>
      <c r="K26" s="21">
        <f>'Financial Statements'!J21/'Financial Statements'!J6</f>
        <v>0.16193371394676356</v>
      </c>
      <c r="L26" s="21">
        <f>'Financial Statements'!K21/'Financial Statements'!K6</f>
        <v>0.4884934834706674</v>
      </c>
      <c r="M26" s="77">
        <f>'Financial Statements'!L21/'Financial Statements'!L6</f>
        <v>0.28367922470163043</v>
      </c>
      <c r="N26" s="77">
        <f>'Financial Statements'!M21/'Financial Statements'!M6</f>
        <v>0.27916378125181257</v>
      </c>
      <c r="O26" s="77">
        <f>'Financial Statements'!N21/'Financial Statements'!N6</f>
        <v>0.27457063201270909</v>
      </c>
      <c r="P26" s="77">
        <f>'Financial Statements'!O21/'Financial Statements'!O6</f>
        <v>0.27000382371912612</v>
      </c>
      <c r="Q26" s="77">
        <f>'Financial Statements'!P21/'Financial Statements'!P6</f>
        <v>0.26553933986775768</v>
      </c>
    </row>
    <row r="27" spans="2:17" x14ac:dyDescent="0.3">
      <c r="B27" s="4" t="s">
        <v>19</v>
      </c>
      <c r="C27" s="22">
        <f>'Financial Statements'!B6/'Financial Statements'!B46</f>
        <v>0.65018747396194976</v>
      </c>
      <c r="D27" s="22">
        <f>'Financial Statements'!C6/'Financial Statements'!C46</f>
        <v>0.67978290366350069</v>
      </c>
      <c r="E27" s="22">
        <f>'Financial Statements'!D6/'Financial Statements'!D46</f>
        <v>0.7021644141855502</v>
      </c>
      <c r="F27" s="22">
        <f>'Financial Statements'!E6/'Financial Statements'!E46</f>
        <v>0.86415799306111551</v>
      </c>
      <c r="G27" s="22">
        <f>'Financial Statements'!F6/'Financial Statements'!F46</f>
        <v>0.88143244056575387</v>
      </c>
      <c r="H27" s="22">
        <f>'Financial Statements'!G6/'Financial Statements'!G46</f>
        <v>0.63055154490326304</v>
      </c>
      <c r="I27" s="22">
        <f>'Financial Statements'!H6/'Financial Statements'!H46</f>
        <v>0.57917404744538226</v>
      </c>
      <c r="J27" s="22">
        <f>'Financial Statements'!I6/'Financial Statements'!I46</f>
        <v>0.60909317219996828</v>
      </c>
      <c r="K27" s="22">
        <f>'Financial Statements'!J6/'Financial Statements'!J46</f>
        <v>0.65499490068476518</v>
      </c>
      <c r="L27" s="22">
        <f>'Financial Statements'!K6/'Financial Statements'!K46</f>
        <v>0.92688047711781885</v>
      </c>
      <c r="M27" s="78">
        <f>'Financial Statements'!L6/'Financial Statements'!L46</f>
        <v>9.2053635383641252E-3</v>
      </c>
      <c r="N27" s="78">
        <f>'Financial Statements'!M6/'Financial Statements'!M46</f>
        <v>5.183214805962638E-3</v>
      </c>
      <c r="O27" s="78">
        <f>'Financial Statements'!N6/'Financial Statements'!N46</f>
        <v>4.9670256787402445E-3</v>
      </c>
      <c r="P27" s="78">
        <f>'Financial Statements'!O6/'Financial Statements'!O46</f>
        <v>4.2613844519263462E-3</v>
      </c>
      <c r="Q27" s="78">
        <f>'Financial Statements'!P6/'Financial Statements'!P46</f>
        <v>5.4164246984229007E-3</v>
      </c>
    </row>
    <row r="28" spans="2:17" x14ac:dyDescent="0.3">
      <c r="B28" s="4" t="s">
        <v>20</v>
      </c>
      <c r="C28" s="23">
        <f>'Financial Statements'!B46/'Financial Statements'!B70</f>
        <v>1.629923042100498</v>
      </c>
      <c r="D28" s="23">
        <f>'Financial Statements'!C46/'Financial Statements'!C70</f>
        <v>1.6491385097337212</v>
      </c>
      <c r="E28" s="23">
        <f>'Financial Statements'!D46/'Financial Statements'!D70</f>
        <v>1.707913918778202</v>
      </c>
      <c r="F28" s="23">
        <f>'Financial Statements'!E46/'Financial Statements'!E70</f>
        <v>1.5046178557087404</v>
      </c>
      <c r="G28" s="23">
        <f>'Financial Statements'!F46/'Financial Statements'!F70</f>
        <v>1.422821665596232</v>
      </c>
      <c r="H28" s="23">
        <f>'Financial Statements'!G46/'Financial Statements'!G70</f>
        <v>1.4187971156997705</v>
      </c>
      <c r="I28" s="23">
        <f>'Financial Statements'!H46/'Financial Statements'!H70</f>
        <v>1.7043153969099627</v>
      </c>
      <c r="J28" s="23">
        <f>'Financial Statements'!I46/'Financial Statements'!I70</f>
        <v>1.6604163535247256</v>
      </c>
      <c r="K28" s="23">
        <f>'Financial Statements'!J46/'Financial Statements'!J70</f>
        <v>1.8633545993393965</v>
      </c>
      <c r="L28" s="23">
        <f>'Financial Statements'!K46/'Financial Statements'!K70</f>
        <v>1.5293405928614641</v>
      </c>
      <c r="M28" s="79">
        <f>'Financial Statements'!L46/'Financial Statements'!L70</f>
        <v>117.43958594324802</v>
      </c>
      <c r="N28" s="79">
        <f>'Financial Statements'!M46/'Financial Statements'!M70</f>
        <v>178.05949494354013</v>
      </c>
      <c r="O28" s="79">
        <f>'Financial Statements'!N46/'Financial Statements'!N70</f>
        <v>170.9787727598204</v>
      </c>
      <c r="P28" s="79">
        <f>'Financial Statements'!O46/'Financial Statements'!O70</f>
        <v>193.61763780310963</v>
      </c>
      <c r="Q28" s="79">
        <f>'Financial Statements'!P46/'Financial Statements'!P70</f>
        <v>154.12907434669069</v>
      </c>
    </row>
    <row r="29" spans="2:17" x14ac:dyDescent="0.3">
      <c r="B29" s="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80"/>
      <c r="N29" s="80"/>
      <c r="O29" s="80"/>
      <c r="P29" s="80"/>
      <c r="Q29" s="80"/>
    </row>
    <row r="30" spans="2:17" x14ac:dyDescent="0.3">
      <c r="B30" s="5" t="s">
        <v>21</v>
      </c>
      <c r="C30" s="19">
        <f>'Financial Statements'!B21/'Financial Statements'!B70</f>
        <v>0.14282480760525124</v>
      </c>
      <c r="D30" s="19">
        <f>'Financial Statements'!C21/'Financial Statements'!C70</f>
        <v>0.13739091519355562</v>
      </c>
      <c r="E30" s="19">
        <f>'Financial Statements'!D21/'Financial Statements'!D70</f>
        <v>0.28913571676501215</v>
      </c>
      <c r="F30" s="19">
        <f>'Financial Statements'!E21/'Financial Statements'!E70</f>
        <v>0.40784366216035339</v>
      </c>
      <c r="G30" s="19">
        <f>'Financial Statements'!F21/'Financial Statements'!F70</f>
        <v>0.44326696638835367</v>
      </c>
      <c r="H30" s="19">
        <f>'Financial Statements'!G21/'Financial Statements'!G70</f>
        <v>0.22910521140609635</v>
      </c>
      <c r="I30" s="19">
        <f>'Financial Statements'!H21/'Financial Statements'!H70</f>
        <v>0.25643757769490322</v>
      </c>
      <c r="J30" s="19">
        <f>'Financial Statements'!I21/'Financial Statements'!I70</f>
        <v>0.36645122501127309</v>
      </c>
      <c r="K30" s="19">
        <f>'Financial Statements'!J21/'Financial Statements'!J70</f>
        <v>0.19763811592235644</v>
      </c>
      <c r="L30" s="19">
        <f>'Financial Statements'!K21/'Financial Statements'!K70</f>
        <v>0.69244729861789756</v>
      </c>
      <c r="M30" s="58">
        <f>'Financial Statements'!L21/'Financial Statements'!L70</f>
        <v>0.30667825754098343</v>
      </c>
      <c r="N30" s="58">
        <f>'Financial Statements'!M21/'Financial Statements'!M70</f>
        <v>0.25764600743178756</v>
      </c>
      <c r="O30" s="58">
        <f>'Financial Statements'!N21/'Financial Statements'!N70</f>
        <v>0.23318074425480345</v>
      </c>
      <c r="P30" s="58">
        <f>'Financial Statements'!O21/'Financial Statements'!O70</f>
        <v>0.22277453653636162</v>
      </c>
      <c r="Q30" s="58">
        <f>'Financial Statements'!P21/'Financial Statements'!P70</f>
        <v>0.22167981544095935</v>
      </c>
    </row>
  </sheetData>
  <mergeCells count="2"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2"/>
  <sheetViews>
    <sheetView showGridLines="0" topLeftCell="F34" zoomScale="89" zoomScaleNormal="89" workbookViewId="0">
      <selection activeCell="S59" sqref="S59"/>
    </sheetView>
  </sheetViews>
  <sheetFormatPr defaultRowHeight="15.6" x14ac:dyDescent="0.3"/>
  <cols>
    <col min="1" max="1" width="37.09765625" bestFit="1" customWidth="1"/>
    <col min="2" max="2" width="15.5" bestFit="1" customWidth="1"/>
    <col min="3" max="7" width="16.5" bestFit="1" customWidth="1"/>
    <col min="8" max="9" width="17.5" bestFit="1" customWidth="1"/>
    <col min="10" max="10" width="18.09765625" bestFit="1" customWidth="1"/>
    <col min="11" max="11" width="16.5" bestFit="1" customWidth="1"/>
    <col min="12" max="12" width="12.59765625" customWidth="1"/>
    <col min="13" max="16" width="10.8984375" bestFit="1" customWidth="1"/>
    <col min="20" max="20" width="10.59765625" bestFit="1" customWidth="1"/>
    <col min="21" max="21" width="10" bestFit="1" customWidth="1"/>
  </cols>
  <sheetData>
    <row r="1" spans="1:21" x14ac:dyDescent="0.3">
      <c r="B1" s="62">
        <v>42005</v>
      </c>
      <c r="C1" s="62">
        <v>42370</v>
      </c>
      <c r="D1" s="62">
        <v>42736</v>
      </c>
      <c r="E1" s="62">
        <v>43101</v>
      </c>
      <c r="F1" s="62">
        <v>43466</v>
      </c>
      <c r="G1" s="62">
        <v>43831</v>
      </c>
      <c r="H1" s="62">
        <v>44197</v>
      </c>
      <c r="I1" s="62">
        <v>44562</v>
      </c>
      <c r="J1" s="62">
        <v>44927</v>
      </c>
      <c r="K1" s="62">
        <v>45292</v>
      </c>
      <c r="L1" s="62">
        <v>45658</v>
      </c>
      <c r="M1" s="62">
        <v>46023</v>
      </c>
      <c r="N1" s="62">
        <v>46388</v>
      </c>
      <c r="O1" s="62">
        <v>46753</v>
      </c>
      <c r="P1" s="62">
        <v>47119</v>
      </c>
      <c r="T1" s="13"/>
      <c r="U1" s="13"/>
    </row>
    <row r="2" spans="1:21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T2" s="14"/>
      <c r="U2" s="14"/>
    </row>
    <row r="3" spans="1:21" x14ac:dyDescent="0.3">
      <c r="A3" t="s">
        <v>61</v>
      </c>
      <c r="B3" s="68"/>
      <c r="C3" s="42"/>
      <c r="D3" s="42"/>
      <c r="E3" s="42"/>
      <c r="F3" s="42"/>
      <c r="G3" s="42"/>
      <c r="H3" s="42"/>
      <c r="I3" s="42"/>
      <c r="J3" s="42"/>
      <c r="K3" s="42"/>
      <c r="T3" s="14"/>
      <c r="U3" s="14"/>
    </row>
    <row r="4" spans="1:21" x14ac:dyDescent="0.3">
      <c r="A4" t="s">
        <v>62</v>
      </c>
      <c r="B4" s="68">
        <f>'Financial Statements'!B6/'Financial Statements'!$B$6</f>
        <v>1</v>
      </c>
      <c r="C4" s="68">
        <f>'Financial Statements'!C6/'Financial Statements'!$C$6</f>
        <v>1</v>
      </c>
      <c r="D4" s="68">
        <f>'Financial Statements'!D6/'Financial Statements'!$D$6</f>
        <v>1</v>
      </c>
      <c r="E4" s="68">
        <f>'Financial Statements'!E6/'Financial Statements'!$E$6</f>
        <v>1</v>
      </c>
      <c r="F4" s="68">
        <f>'Financial Statements'!F6/'Financial Statements'!$F$6</f>
        <v>1</v>
      </c>
      <c r="G4" s="68">
        <f>'Financial Statements'!G6/'Financial Statements'!$G$6</f>
        <v>1</v>
      </c>
      <c r="H4" s="68">
        <f>'Financial Statements'!H6/'Financial Statements'!$H$6</f>
        <v>1</v>
      </c>
      <c r="I4" s="68">
        <f>'Financial Statements'!I6/'Financial Statements'!$I$6</f>
        <v>1</v>
      </c>
      <c r="J4" s="68">
        <f>'Financial Statements'!J6/'Financial Statements'!$J$6</f>
        <v>1</v>
      </c>
      <c r="K4" s="68">
        <f>'Financial Statements'!K6/'Financial Statements'!$K$6</f>
        <v>1</v>
      </c>
      <c r="L4" s="81">
        <f>'Financial Statements'!L6/'Financial Statements'!$L$6</f>
        <v>1</v>
      </c>
      <c r="M4" s="81">
        <f>'Financial Statements'!M6/'Financial Statements'!$M$6</f>
        <v>1</v>
      </c>
      <c r="N4" s="81">
        <f>'Financial Statements'!N6/'Financial Statements'!$N$6</f>
        <v>1</v>
      </c>
      <c r="O4" s="81">
        <f>'Financial Statements'!O6/'Financial Statements'!$O$6</f>
        <v>1</v>
      </c>
      <c r="P4" s="81">
        <f>'Financial Statements'!P6/'Financial Statements'!$P$6</f>
        <v>1</v>
      </c>
      <c r="T4" s="14"/>
      <c r="U4" s="14"/>
    </row>
    <row r="5" spans="1:21" s="61" customFormat="1" x14ac:dyDescent="0.3">
      <c r="A5" s="61" t="s">
        <v>63</v>
      </c>
      <c r="B5" s="69">
        <f>'Financial Statements'!B7/'Financial Statements'!$B$6</f>
        <v>0.44489534387014096</v>
      </c>
      <c r="C5" s="69">
        <f>'Financial Statements'!C7/'Financial Statements'!$C$6</f>
        <v>0.43892215568862275</v>
      </c>
      <c r="D5" s="69">
        <f>'Financial Statements'!D7/'Financial Statements'!$D$6</f>
        <v>0.41201157742402317</v>
      </c>
      <c r="E5" s="69">
        <f>'Financial Statements'!E7/'Financial Statements'!$E$6</f>
        <v>0.40065884290714432</v>
      </c>
      <c r="F5" s="69">
        <f>'Financial Statements'!F7/'Financial Statements'!$F$6</f>
        <v>0.38793103448275862</v>
      </c>
      <c r="G5" s="69">
        <f>'Financial Statements'!G7/'Financial Statements'!$G$6</f>
        <v>0.38010624656530501</v>
      </c>
      <c r="H5" s="69">
        <f>'Financial Statements'!H7/'Financial Statements'!$H$6</f>
        <v>0.36689655172413793</v>
      </c>
      <c r="I5" s="69">
        <f>'Financial Statements'!I7/'Financial Statements'!$I$6</f>
        <v>0.35070966783086871</v>
      </c>
      <c r="J5" s="69">
        <f>'Financial Statements'!J7/'Financial Statements'!$J$6</f>
        <v>0.43071105509008673</v>
      </c>
      <c r="K5" s="69">
        <f>'Financial Statements'!K7/'Financial Statements'!$K$6</f>
        <v>0.27282426709563046</v>
      </c>
      <c r="L5" s="82">
        <f>'Financial Statements'!L7/'Financial Statements'!$L$6</f>
        <v>0.35</v>
      </c>
      <c r="M5" s="82">
        <f>'Financial Statements'!M7/'Financial Statements'!$M$6</f>
        <v>0.35</v>
      </c>
      <c r="N5" s="82">
        <f>'Financial Statements'!N7/'Financial Statements'!$N$6</f>
        <v>0.35</v>
      </c>
      <c r="O5" s="82">
        <f>'Financial Statements'!O7/'Financial Statements'!$O$6</f>
        <v>0.35</v>
      </c>
      <c r="P5" s="82">
        <f>'Financial Statements'!P7/'Financial Statements'!$P$6</f>
        <v>0.35</v>
      </c>
      <c r="T5" s="73"/>
      <c r="U5" s="73"/>
    </row>
    <row r="6" spans="1:21" x14ac:dyDescent="0.3">
      <c r="A6" t="s">
        <v>22</v>
      </c>
      <c r="B6" s="72">
        <f>'Financial Statements'!B8/'Financial Statements'!$B$6</f>
        <v>0.55510465612985904</v>
      </c>
      <c r="C6" s="68">
        <f>'Financial Statements'!C8/'Financial Statements'!$C$6</f>
        <v>0.56107784431137719</v>
      </c>
      <c r="D6" s="68">
        <f>'Financial Statements'!D8/'Financial Statements'!$D$6</f>
        <v>0.58798842257597683</v>
      </c>
      <c r="E6" s="68">
        <f>'Financial Statements'!E8/'Financial Statements'!$E$6</f>
        <v>0.59934115709285563</v>
      </c>
      <c r="F6" s="68">
        <f>'Financial Statements'!F8/'Financial Statements'!$F$6</f>
        <v>0.61206896551724133</v>
      </c>
      <c r="G6" s="68">
        <f>'Financial Statements'!G8/'Financial Statements'!$G$6</f>
        <v>0.61989375343469499</v>
      </c>
      <c r="H6" s="68">
        <f>'Financial Statements'!H8/'Financial Statements'!$H$6</f>
        <v>0.63310344827586207</v>
      </c>
      <c r="I6" s="68">
        <f>'Financial Statements'!I8/'Financial Statements'!$I$6</f>
        <v>0.64929033216913135</v>
      </c>
      <c r="J6" s="68">
        <f>'Financial Statements'!J8/'Financial Statements'!$J$6</f>
        <v>0.56928894490991322</v>
      </c>
      <c r="K6" s="68">
        <f>'Financial Statements'!K8/'Financial Statements'!$K$6</f>
        <v>0.72717573290436954</v>
      </c>
      <c r="L6" s="81">
        <f>'Financial Statements'!L8/'Financial Statements'!$L$6</f>
        <v>0.65</v>
      </c>
      <c r="M6" s="81">
        <f>'Financial Statements'!M8/'Financial Statements'!$M$6</f>
        <v>0.65</v>
      </c>
      <c r="N6" s="81">
        <f>'Financial Statements'!N8/'Financial Statements'!$N$6</f>
        <v>0.65</v>
      </c>
      <c r="O6" s="81">
        <f>'Financial Statements'!O8/'Financial Statements'!$O$6</f>
        <v>0.65</v>
      </c>
      <c r="P6" s="81">
        <f>'Financial Statements'!P8/'Financial Statements'!$P$6</f>
        <v>0.65</v>
      </c>
      <c r="T6" s="14"/>
      <c r="U6" s="14"/>
    </row>
    <row r="7" spans="1:21" x14ac:dyDescent="0.3">
      <c r="A7" t="s">
        <v>64</v>
      </c>
      <c r="B7" s="68"/>
      <c r="C7" s="68">
        <f>'Financial Statements'!C9/'Financial Statements'!$C$6</f>
        <v>0</v>
      </c>
      <c r="D7" s="68">
        <f>'Financial Statements'!D9/'Financial Statements'!$D$6</f>
        <v>0</v>
      </c>
      <c r="E7" s="68">
        <f>'Financial Statements'!E9/'Financial Statements'!$E$6</f>
        <v>0</v>
      </c>
      <c r="F7" s="68">
        <f>'Financial Statements'!F9/'Financial Statements'!$F$6</f>
        <v>0</v>
      </c>
      <c r="G7" s="68">
        <f>'Financial Statements'!G9/'Financial Statements'!$G$6</f>
        <v>0</v>
      </c>
      <c r="H7" s="68">
        <f>'Financial Statements'!H9/'Financial Statements'!$H$6</f>
        <v>0</v>
      </c>
      <c r="I7" s="68">
        <f>'Financial Statements'!I9/'Financial Statements'!$I$6</f>
        <v>0</v>
      </c>
      <c r="J7" s="68">
        <f>'Financial Statements'!J9/'Financial Statements'!$J$6</f>
        <v>0</v>
      </c>
      <c r="K7" s="68">
        <f>'Financial Statements'!K9/'Financial Statements'!$K$6</f>
        <v>0</v>
      </c>
      <c r="L7" s="81">
        <f>'Financial Statements'!L9/'Financial Statements'!$L$6</f>
        <v>0</v>
      </c>
      <c r="M7" s="81">
        <f>'Financial Statements'!M9/'Financial Statements'!$M$6</f>
        <v>0</v>
      </c>
      <c r="N7" s="81">
        <f>'Financial Statements'!N9/'Financial Statements'!$N$6</f>
        <v>0</v>
      </c>
      <c r="O7" s="81">
        <f>'Financial Statements'!O9/'Financial Statements'!$O$6</f>
        <v>0</v>
      </c>
      <c r="P7" s="81">
        <f>'Financial Statements'!P9/'Financial Statements'!$P$6</f>
        <v>0</v>
      </c>
      <c r="T7" s="14"/>
      <c r="U7" s="14"/>
    </row>
    <row r="8" spans="1:21" x14ac:dyDescent="0.3">
      <c r="A8" t="s">
        <v>65</v>
      </c>
      <c r="B8" s="68">
        <f>'Financial Statements'!B10/'Financial Statements'!$B$6</f>
        <v>0.10252029047415634</v>
      </c>
      <c r="C8" s="68">
        <f>'Financial Statements'!C10/'Financial Statements'!$C$6</f>
        <v>0.12015968063872255</v>
      </c>
      <c r="D8" s="68">
        <f>'Financial Statements'!D10/'Financial Statements'!$D$6</f>
        <v>9.5947901591895798E-2</v>
      </c>
      <c r="E8" s="68">
        <f>'Financial Statements'!E10/'Financial Statements'!$E$6</f>
        <v>8.3899526456660489E-2</v>
      </c>
      <c r="F8" s="68">
        <f>'Financial Statements'!F10/'Financial Statements'!$F$6</f>
        <v>8.4585182656196647E-2</v>
      </c>
      <c r="G8" s="68">
        <f>'Financial Statements'!G10/'Financial Statements'!$G$6</f>
        <v>0.10010991023997069</v>
      </c>
      <c r="H8" s="68">
        <f>'Financial Statements'!H10/'Financial Statements'!$H$6</f>
        <v>0.11466266866566717</v>
      </c>
      <c r="I8" s="68">
        <f>'Financial Statements'!I10/'Financial Statements'!$I$6</f>
        <v>8.0478561343538674E-2</v>
      </c>
      <c r="J8" s="68">
        <f>'Financial Statements'!J10/'Financial Statements'!$J$6</f>
        <v>9.0457477570994288E-2</v>
      </c>
      <c r="K8" s="68">
        <f>'Financial Statements'!K10/'Financial Statements'!$K$6</f>
        <v>4.3563901382095135E-2</v>
      </c>
      <c r="L8" s="81">
        <f>'Financial Statements'!L10/'Financial Statements'!$L$6</f>
        <v>0.1</v>
      </c>
      <c r="M8" s="81">
        <f>'Financial Statements'!M10/'Financial Statements'!$M$6</f>
        <v>0.1</v>
      </c>
      <c r="N8" s="81">
        <f>'Financial Statements'!N10/'Financial Statements'!$N$6</f>
        <v>9.9999999999999992E-2</v>
      </c>
      <c r="O8" s="81">
        <f>'Financial Statements'!O10/'Financial Statements'!$O$6</f>
        <v>0.10000000000000002</v>
      </c>
      <c r="P8" s="81">
        <f>'Financial Statements'!P10/'Financial Statements'!$P$6</f>
        <v>0.1</v>
      </c>
      <c r="T8" s="14"/>
      <c r="U8" s="14"/>
    </row>
    <row r="9" spans="1:21" s="61" customFormat="1" x14ac:dyDescent="0.3">
      <c r="A9" s="61" t="s">
        <v>66</v>
      </c>
      <c r="B9" s="69">
        <f>'Financial Statements'!B11/'Financial Statements'!$B$6</f>
        <v>0.29047415634344298</v>
      </c>
      <c r="C9" s="69">
        <f>'Financial Statements'!C11/'Financial Statements'!$C$6</f>
        <v>0.26566866267465072</v>
      </c>
      <c r="D9" s="69">
        <f>'Financial Statements'!D11/'Financial Statements'!$D$6</f>
        <v>0.21172214182344429</v>
      </c>
      <c r="E9" s="69">
        <f>'Financial Statements'!E11/'Financial Statements'!$E$6</f>
        <v>0.18499073502161828</v>
      </c>
      <c r="F9" s="69">
        <f>'Financial Statements'!F11/'Financial Statements'!$F$6</f>
        <v>0.20279959030385797</v>
      </c>
      <c r="G9" s="69">
        <f>'Financial Statements'!G11/'Financial Statements'!$G$6</f>
        <v>0.25911339073090311</v>
      </c>
      <c r="H9" s="69">
        <f>'Financial Statements'!H11/'Financial Statements'!$H$6</f>
        <v>0.2353223388305847</v>
      </c>
      <c r="I9" s="69">
        <f>'Financial Statements'!I11/'Financial Statements'!$I$6</f>
        <v>0.19573456193802483</v>
      </c>
      <c r="J9" s="69">
        <f>'Financial Statements'!J11/'Financial Statements'!$J$6</f>
        <v>0.27207681471046191</v>
      </c>
      <c r="K9" s="69">
        <f>'Financial Statements'!K11/'Financial Statements'!$K$6</f>
        <v>0.14239519385443683</v>
      </c>
      <c r="L9" s="82">
        <f>'Financial Statements'!L11/'Financial Statements'!$L$6</f>
        <v>0.2</v>
      </c>
      <c r="M9" s="82">
        <f>'Financial Statements'!M11/'Financial Statements'!$M$6</f>
        <v>0.2</v>
      </c>
      <c r="N9" s="82">
        <f>'Financial Statements'!N11/'Financial Statements'!$N$6</f>
        <v>0.19999999999999998</v>
      </c>
      <c r="O9" s="82">
        <f>'Financial Statements'!O11/'Financial Statements'!$O$6</f>
        <v>0.20000000000000004</v>
      </c>
      <c r="P9" s="82">
        <f>'Financial Statements'!P11/'Financial Statements'!$P$6</f>
        <v>0.2</v>
      </c>
      <c r="T9" s="73"/>
      <c r="U9" s="73"/>
    </row>
    <row r="10" spans="1:21" x14ac:dyDescent="0.3">
      <c r="A10" t="s">
        <v>67</v>
      </c>
      <c r="B10" s="68">
        <f>'Financial Statements'!B12/'Financial Statements'!$B$6</f>
        <v>0.39299444681759932</v>
      </c>
      <c r="C10" s="68">
        <f>'Financial Statements'!C12/'Financial Statements'!$C$6</f>
        <v>0.38582834331337323</v>
      </c>
      <c r="D10" s="68">
        <f>'Financial Statements'!D12/'Financial Statements'!$D$6</f>
        <v>0.3076700434153401</v>
      </c>
      <c r="E10" s="68">
        <f>'Financial Statements'!E12/'Financial Statements'!$E$6</f>
        <v>0.26889026147827877</v>
      </c>
      <c r="F10" s="68">
        <f>'Financial Statements'!F12/'Financial Statements'!$F$6</f>
        <v>0.2873847729600546</v>
      </c>
      <c r="G10" s="68">
        <f>'Financial Statements'!G12/'Financial Statements'!$G$6</f>
        <v>0.35922330097087379</v>
      </c>
      <c r="H10" s="68">
        <f>'Financial Statements'!H12/'Financial Statements'!$H$6</f>
        <v>0.34998500749625189</v>
      </c>
      <c r="I10" s="68">
        <f>'Financial Statements'!I12/'Financial Statements'!$I$6</f>
        <v>0.2762131232815635</v>
      </c>
      <c r="J10" s="68">
        <f>'Financial Statements'!J12/'Financial Statements'!$J$6</f>
        <v>0.36253429228145623</v>
      </c>
      <c r="K10" s="68">
        <f>'Financial Statements'!K12/'Financial Statements'!$K$6</f>
        <v>0.18595909523653195</v>
      </c>
      <c r="L10" s="81">
        <f>'Financial Statements'!L12/'Financial Statements'!$L$6</f>
        <v>0.30000000000000004</v>
      </c>
      <c r="M10" s="81">
        <f>'Financial Statements'!M12/'Financial Statements'!$M$6</f>
        <v>0.3</v>
      </c>
      <c r="N10" s="81">
        <f>'Financial Statements'!N12/'Financial Statements'!$N$6</f>
        <v>0.3</v>
      </c>
      <c r="O10" s="81">
        <f>'Financial Statements'!O12/'Financial Statements'!$O$6</f>
        <v>0.30000000000000004</v>
      </c>
      <c r="P10" s="81">
        <f>'Financial Statements'!P12/'Financial Statements'!$P$6</f>
        <v>0.30000000000000004</v>
      </c>
    </row>
    <row r="11" spans="1:21" ht="13.8" customHeight="1" x14ac:dyDescent="0.3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81"/>
      <c r="M11" s="66"/>
      <c r="N11" s="63"/>
      <c r="O11" s="63"/>
      <c r="P11" s="63"/>
    </row>
    <row r="12" spans="1:21" x14ac:dyDescent="0.3">
      <c r="A12" t="s">
        <v>68</v>
      </c>
      <c r="B12" s="68">
        <f>'Financial Statements'!B13/'Financial Statements'!$B$6</f>
        <v>0.16211020931225972</v>
      </c>
      <c r="C12" s="68">
        <f>'Financial Statements'!C13/'Financial Statements'!$C$6</f>
        <v>0.17524950099800399</v>
      </c>
      <c r="D12" s="68">
        <f>'Financial Statements'!D13/'Financial Statements'!$D$6</f>
        <v>0.28031837916063673</v>
      </c>
      <c r="E12" s="68">
        <f>'Financial Statements'!E13/'Financial Statements'!$E$6</f>
        <v>0.33045089561457691</v>
      </c>
      <c r="F12" s="68">
        <f>'Financial Statements'!F13/'Financial Statements'!$F$6</f>
        <v>0.32468419255718678</v>
      </c>
      <c r="G12" s="68">
        <f>'Financial Statements'!G13/'Financial Statements'!$G$6</f>
        <v>0.2606704524638212</v>
      </c>
      <c r="H12" s="68">
        <f>'Financial Statements'!H13/'Financial Statements'!$H$6</f>
        <v>0.28311844077961018</v>
      </c>
      <c r="I12" s="68">
        <f>'Financial Statements'!I13/'Financial Statements'!$I$6</f>
        <v>0.37307720888756779</v>
      </c>
      <c r="J12" s="68">
        <f>'Financial Statements'!J13/'Financial Statements'!$J$6</f>
        <v>0.20675465262845702</v>
      </c>
      <c r="K12" s="68">
        <f>'Financial Statements'!K13/'Financial Statements'!$K$6</f>
        <v>0.54121663766783756</v>
      </c>
      <c r="L12" s="81">
        <f>'Financial Statements'!L13/'Financial Statements'!$L$6</f>
        <v>0.35000000000000003</v>
      </c>
      <c r="M12" s="81">
        <f>'Financial Statements'!M13/'Financial Statements'!$M$6</f>
        <v>0.35000000000000003</v>
      </c>
      <c r="N12" s="81">
        <f>'Financial Statements'!N13/'Financial Statements'!$N$6</f>
        <v>0.35000000000000003</v>
      </c>
      <c r="O12" s="81">
        <f>'Financial Statements'!O13/'Financial Statements'!$O$6</f>
        <v>0.35</v>
      </c>
      <c r="P12" s="81">
        <f>'Financial Statements'!P13/'Financial Statements'!$P$6</f>
        <v>0.35000000000000003</v>
      </c>
    </row>
    <row r="13" spans="1:21" x14ac:dyDescent="0.3">
      <c r="A13" t="s">
        <v>69</v>
      </c>
      <c r="B13" s="68">
        <f>'Financial Statements'!B14/'Financial Statements'!$B$6</f>
        <v>0</v>
      </c>
      <c r="C13" s="68">
        <f>'Financial Statements'!C14/'Financial Statements'!$C$6</f>
        <v>0</v>
      </c>
      <c r="D13" s="68">
        <f>'Financial Statements'!D14/'Financial Statements'!$D$6</f>
        <v>0</v>
      </c>
      <c r="E13" s="68">
        <f>'Financial Statements'!E14/'Financial Statements'!$E$6</f>
        <v>0</v>
      </c>
      <c r="F13" s="68">
        <f>'Financial Statements'!F14/'Financial Statements'!$F$6</f>
        <v>0</v>
      </c>
      <c r="G13" s="68">
        <f>'Financial Statements'!G14/'Financial Statements'!$G$6</f>
        <v>0</v>
      </c>
      <c r="H13" s="68">
        <f>'Financial Statements'!H14/'Financial Statements'!$H$6</f>
        <v>0</v>
      </c>
      <c r="I13" s="68">
        <f>'Financial Statements'!I14/'Financial Statements'!$I$6</f>
        <v>0</v>
      </c>
      <c r="J13" s="68">
        <f>'Financial Statements'!J14/'Financial Statements'!$J$6</f>
        <v>0</v>
      </c>
      <c r="K13" s="68">
        <f>'Financial Statements'!K14/'Financial Statements'!$K$6</f>
        <v>0</v>
      </c>
      <c r="L13" s="81">
        <f>'Financial Statements'!L14/'Financial Statements'!$L$6</f>
        <v>0</v>
      </c>
      <c r="M13" s="81">
        <f>'Financial Statements'!M14/'Financial Statements'!$M$6</f>
        <v>0</v>
      </c>
      <c r="N13" s="81">
        <f>'Financial Statements'!N14/'Financial Statements'!$N$6</f>
        <v>0</v>
      </c>
      <c r="O13" s="81">
        <f>'Financial Statements'!O14/'Financial Statements'!$O$6</f>
        <v>0</v>
      </c>
      <c r="P13" s="81">
        <f>'Financial Statements'!P14/'Financial Statements'!$P$6</f>
        <v>0</v>
      </c>
    </row>
    <row r="14" spans="1:21" x14ac:dyDescent="0.3">
      <c r="A14" t="s">
        <v>23</v>
      </c>
      <c r="B14" s="68">
        <f>'Financial Statements'!B15/'Financial Statements'!$B$6</f>
        <v>-9.8248611704399823E-3</v>
      </c>
      <c r="C14" s="68">
        <f>'Financial Statements'!C15/'Financial Statements'!$C$6</f>
        <v>-9.3812375249500996E-3</v>
      </c>
      <c r="D14" s="68">
        <f>'Financial Statements'!D15/'Financial Statements'!$D$6</f>
        <v>-8.3936324167872643E-3</v>
      </c>
      <c r="E14" s="68">
        <f>'Financial Statements'!E15/'Financial Statements'!$E$6</f>
        <v>-6.2795964587193743E-3</v>
      </c>
      <c r="F14" s="68">
        <f>'Financial Statements'!F15/'Financial Statements'!$F$6</f>
        <v>-4.9504950495049506E-3</v>
      </c>
      <c r="G14" s="68">
        <f>'Financial Statements'!G15/'Financial Statements'!$G$6</f>
        <v>-4.7627770653965928E-3</v>
      </c>
      <c r="H14" s="68">
        <f>'Financial Statements'!H15/'Financial Statements'!$H$6</f>
        <v>-1.1034482758620689E-2</v>
      </c>
      <c r="I14" s="68">
        <f>'Financial Statements'!I15/'Financial Statements'!$I$6</f>
        <v>-8.7686705803670956E-3</v>
      </c>
      <c r="J14" s="68">
        <f>'Financial Statements'!J15/'Financial Statements'!$J$6</f>
        <v>-9.7130570178690593E-3</v>
      </c>
      <c r="K14" s="68">
        <f>'Financial Statements'!K15/'Financial Statements'!$K$6</f>
        <v>-4.2185089130363411E-3</v>
      </c>
      <c r="L14" s="81">
        <f>'Financial Statements'!L15/'Financial Statements'!$L$6</f>
        <v>-3.8350081027603098E-3</v>
      </c>
      <c r="M14" s="81">
        <f>'Financial Statements'!M15/'Financial Statements'!$M$6</f>
        <v>-3.3347896545741829E-3</v>
      </c>
      <c r="N14" s="81">
        <f>'Financial Statements'!N15/'Financial Statements'!$N$6</f>
        <v>-2.7789913788118189E-3</v>
      </c>
      <c r="O14" s="81">
        <f>'Financial Statements'!O15/'Financial Statements'!$O$6</f>
        <v>-2.2231931030494553E-3</v>
      </c>
      <c r="P14" s="81">
        <f>'Financial Statements'!P15/'Financial Statements'!$P$6</f>
        <v>-1.7101485408072732E-3</v>
      </c>
      <c r="T14" s="14"/>
      <c r="U14" s="14"/>
    </row>
    <row r="15" spans="1:21" s="61" customFormat="1" x14ac:dyDescent="0.3">
      <c r="A15" s="61" t="s">
        <v>70</v>
      </c>
      <c r="B15" s="69">
        <f>'Financial Statements'!B16/'Financial Statements'!$B$6</f>
        <v>5.9803502776591203E-3</v>
      </c>
      <c r="C15" s="69">
        <f>'Financial Statements'!C16/'Financial Statements'!$C$6</f>
        <v>7.784431137724551E-3</v>
      </c>
      <c r="D15" s="69">
        <f>'Financial Statements'!D16/'Financial Statements'!$D$6</f>
        <v>7.8147612156295228E-3</v>
      </c>
      <c r="E15" s="69">
        <f>'Financial Statements'!E16/'Financial Statements'!$E$6</f>
        <v>7.1031500926497836E-3</v>
      </c>
      <c r="F15" s="69">
        <f>'Financial Statements'!F16/'Financial Statements'!$F$6</f>
        <v>1.1608057357459884E-2</v>
      </c>
      <c r="G15" s="69">
        <f>'Financial Statements'!G16/'Financial Statements'!$G$6</f>
        <v>1.6303352262319108E-2</v>
      </c>
      <c r="H15" s="69">
        <f>'Financial Statements'!H16/'Financial Statements'!$H$6</f>
        <v>3.4182908545727139E-3</v>
      </c>
      <c r="I15" s="69">
        <f>'Financial Statements'!I16/'Financial Statements'!$I$6</f>
        <v>1.0775061306383296E-3</v>
      </c>
      <c r="J15" s="69">
        <f>'Financial Statements'!J16/'Financial Statements'!$J$6</f>
        <v>9.8984207014161784E-3</v>
      </c>
      <c r="K15" s="69">
        <f>'Financial Statements'!K16/'Financial Statements'!$K$6</f>
        <v>1.421489773809133E-2</v>
      </c>
      <c r="L15" s="81">
        <f>'Financial Statements'!L16/'Financial Statements'!$L$6</f>
        <v>1.2922634307355753E-2</v>
      </c>
      <c r="M15" s="81">
        <f>'Financial Statements'!M16/'Financial Statements'!$M$6</f>
        <v>1.1237073310744134E-2</v>
      </c>
      <c r="N15" s="81">
        <f>'Financial Statements'!N16/'Financial Statements'!$N$6</f>
        <v>9.3642277589534445E-3</v>
      </c>
      <c r="O15" s="81">
        <f>'Financial Statements'!O16/'Financial Statements'!$O$6</f>
        <v>7.4913822071627553E-3</v>
      </c>
      <c r="P15" s="81">
        <f>'Financial Statements'!P16/'Financial Statements'!$P$6</f>
        <v>5.7626016978175043E-3</v>
      </c>
      <c r="T15" s="73"/>
      <c r="U15" s="73"/>
    </row>
    <row r="16" spans="1:21" x14ac:dyDescent="0.3">
      <c r="A16" t="s">
        <v>71</v>
      </c>
      <c r="B16" s="72">
        <f>'Financial Statements'!B17/'Financial Statements'!$B$6</f>
        <v>-3.8445108927808629E-3</v>
      </c>
      <c r="C16" s="68">
        <f>'Financial Statements'!C17/'Financial Statements'!$C$6</f>
        <v>-1.5968063872255488E-3</v>
      </c>
      <c r="D16" s="68">
        <f>'Financial Statements'!D17/'Financial Statements'!$D$6</f>
        <v>-5.7887120115774238E-4</v>
      </c>
      <c r="E16" s="68">
        <f>'Financial Statements'!E17/'Financial Statements'!$E$6</f>
        <v>8.2355363393040967E-4</v>
      </c>
      <c r="F16" s="68">
        <f>'Financial Statements'!F17/'Financial Statements'!$F$6</f>
        <v>6.6575623079549338E-3</v>
      </c>
      <c r="G16" s="68">
        <f>'Financial Statements'!G17/'Financial Statements'!$G$6</f>
        <v>1.1540575196922514E-2</v>
      </c>
      <c r="H16" s="68">
        <f>'Financial Statements'!H17/'Financial Statements'!$H$6</f>
        <v>-7.6161919040479758E-3</v>
      </c>
      <c r="I16" s="68">
        <f>'Financial Statements'!I17/'Financial Statements'!$I$6</f>
        <v>-7.6911644497287658E-3</v>
      </c>
      <c r="J16" s="68">
        <f>'Financial Statements'!J17/'Financial Statements'!$J$6</f>
        <v>1.8536368354711945E-4</v>
      </c>
      <c r="K16" s="68">
        <f>'Financial Statements'!K17/'Financial Statements'!$K$6</f>
        <v>9.996388825054988E-3</v>
      </c>
      <c r="L16" s="81">
        <f>'Financial Statements'!L17/'Financial Statements'!$L$6</f>
        <v>9.0876262045954427E-3</v>
      </c>
      <c r="M16" s="81">
        <f>'Financial Statements'!M17/'Financial Statements'!$M$6</f>
        <v>7.9022836561699512E-3</v>
      </c>
      <c r="N16" s="81">
        <f>'Financial Statements'!N17/'Financial Statements'!$N$6</f>
        <v>6.585236380141626E-3</v>
      </c>
      <c r="O16" s="81">
        <f>'Financial Statements'!O17/'Financial Statements'!$O$6</f>
        <v>5.2681891041133E-3</v>
      </c>
      <c r="P16" s="81">
        <f>'Financial Statements'!P17/'Financial Statements'!$P$6</f>
        <v>4.0524531570102313E-3</v>
      </c>
    </row>
    <row r="17" spans="1:21" s="61" customFormat="1" x14ac:dyDescent="0.3">
      <c r="A17" s="61" t="s">
        <v>72</v>
      </c>
      <c r="B17" s="69">
        <f>'Financial Statements'!B18/'Financial Statements'!$B$6</f>
        <v>2.9901751388295601E-3</v>
      </c>
      <c r="C17" s="69">
        <f>'Financial Statements'!C18/'Financial Statements'!$C$6</f>
        <v>7.9840319361277441E-4</v>
      </c>
      <c r="D17" s="69">
        <f>'Financial Statements'!D18/'Financial Statements'!$D$6</f>
        <v>-5.7887120115774238E-4</v>
      </c>
      <c r="E17" s="69">
        <f>'Financial Statements'!E18/'Financial Statements'!$E$6</f>
        <v>-2.2647724933086266E-3</v>
      </c>
      <c r="F17" s="69">
        <f>'Financial Statements'!F18/'Financial Statements'!$F$6</f>
        <v>1.1949470809149881E-3</v>
      </c>
      <c r="G17" s="69">
        <f>'Financial Statements'!G18/'Financial Statements'!$G$6</f>
        <v>0</v>
      </c>
      <c r="H17" s="69">
        <f>'Financial Statements'!H18/'Financial Statements'!$H$6</f>
        <v>2.39880059970015E-4</v>
      </c>
      <c r="I17" s="69">
        <f>'Financial Statements'!I18/'Financial Statements'!$I$6</f>
        <v>2.6008768670580365E-4</v>
      </c>
      <c r="J17" s="69">
        <f>'Financial Statements'!J18/'Financial Statements'!$J$6</f>
        <v>-1.1121821012827167E-4</v>
      </c>
      <c r="K17" s="69">
        <f>'Financial Statements'!K18/'Financial Statements'!$K$6</f>
        <v>-1.6414431568234792E-5</v>
      </c>
      <c r="L17" s="81">
        <f>'Financial Statements'!L18/'Financial Statements'!$L$6</f>
        <v>0</v>
      </c>
      <c r="M17" s="81">
        <f>'Financial Statements'!M18/'Financial Statements'!$M$6</f>
        <v>0</v>
      </c>
      <c r="N17" s="81">
        <f>'Financial Statements'!N18/'Financial Statements'!$N$6</f>
        <v>0</v>
      </c>
      <c r="O17" s="81">
        <f>'Financial Statements'!O18/'Financial Statements'!$O$6</f>
        <v>0</v>
      </c>
      <c r="P17" s="81">
        <f>'Financial Statements'!P18/'Financial Statements'!$P$6</f>
        <v>0</v>
      </c>
      <c r="T17" s="73"/>
      <c r="U17" s="73"/>
    </row>
    <row r="18" spans="1:21" x14ac:dyDescent="0.3">
      <c r="A18" t="s">
        <v>73</v>
      </c>
      <c r="B18" s="72">
        <f>'Financial Statements'!B19/'Financial Statements'!$B$6</f>
        <v>0.16125587355830842</v>
      </c>
      <c r="C18" s="68">
        <f>'Financial Statements'!C19/'Financial Statements'!$C$6</f>
        <v>0.17445109780439122</v>
      </c>
      <c r="D18" s="68">
        <f>'Financial Statements'!D19/'Financial Statements'!$D$6</f>
        <v>0.27916063675832126</v>
      </c>
      <c r="E18" s="68">
        <f>'Financial Statements'!E19/'Financial Statements'!$E$6</f>
        <v>0.32900967675519871</v>
      </c>
      <c r="F18" s="68">
        <f>'Financial Statements'!F19/'Financial Statements'!$F$6</f>
        <v>0.33253670194605667</v>
      </c>
      <c r="G18" s="68">
        <f>'Financial Statements'!G19/'Financial Statements'!$G$6</f>
        <v>0.27221102766074373</v>
      </c>
      <c r="H18" s="68">
        <f>'Financial Statements'!H19/'Financial Statements'!$H$6</f>
        <v>0.27574212893553224</v>
      </c>
      <c r="I18" s="68">
        <f>'Financial Statements'!I19/'Financial Statements'!$I$6</f>
        <v>0.36564613212454483</v>
      </c>
      <c r="J18" s="68">
        <f>'Financial Statements'!J19/'Financial Statements'!$J$6</f>
        <v>0.20682879810187588</v>
      </c>
      <c r="K18" s="68">
        <f>'Financial Statements'!K19/'Financial Statements'!$K$6</f>
        <v>0.55119661206132431</v>
      </c>
      <c r="L18" s="81">
        <f>'Financial Statements'!L19/'Financial Statements'!$L$6</f>
        <v>0.35908762620459544</v>
      </c>
      <c r="M18" s="81">
        <f>'Financial Statements'!M19/'Financial Statements'!$M$6</f>
        <v>0.35790228365616999</v>
      </c>
      <c r="N18" s="81">
        <f>'Financial Statements'!N19/'Financial Statements'!$N$6</f>
        <v>0.35658523638014167</v>
      </c>
      <c r="O18" s="81">
        <f>'Financial Statements'!O19/'Financial Statements'!$O$6</f>
        <v>0.35526818910411329</v>
      </c>
      <c r="P18" s="81">
        <f>'Financial Statements'!P19/'Financial Statements'!$P$6</f>
        <v>0.35405245315701023</v>
      </c>
      <c r="T18" s="14"/>
      <c r="U18" s="14"/>
    </row>
    <row r="19" spans="1:21" s="61" customFormat="1" x14ac:dyDescent="0.3">
      <c r="A19" s="61" t="s">
        <v>74</v>
      </c>
      <c r="B19" s="69">
        <f>'Financial Statements'!B20/'Financial Statements'!$B$6</f>
        <v>2.648440837249039E-2</v>
      </c>
      <c r="C19" s="69">
        <f>'Financial Statements'!C20/'Financial Statements'!$C$6</f>
        <v>5.1896207584830337E-2</v>
      </c>
      <c r="D19" s="69">
        <f>'Financial Statements'!D20/'Financial Statements'!$D$6</f>
        <v>3.8060781476121561E-2</v>
      </c>
      <c r="E19" s="69">
        <f>'Financial Statements'!E20/'Financial Statements'!$E$6</f>
        <v>1.5338686431953881E-2</v>
      </c>
      <c r="F19" s="69">
        <f>'Financial Statements'!F20/'Financial Statements'!$F$6</f>
        <v>-2.091157391601229E-2</v>
      </c>
      <c r="G19" s="69">
        <f>'Financial Statements'!G20/'Financial Statements'!$G$6</f>
        <v>1.6120168529034622E-2</v>
      </c>
      <c r="H19" s="69">
        <f>'Financial Statements'!H20/'Financial Statements'!$H$6</f>
        <v>1.5952023988005996E-2</v>
      </c>
      <c r="I19" s="69">
        <f>'Financial Statements'!I20/'Financial Statements'!$I$6</f>
        <v>3.306829159545218E-3</v>
      </c>
      <c r="J19" s="69">
        <f>'Financial Statements'!J20/'Financial Statements'!$J$6</f>
        <v>4.4895084155112328E-2</v>
      </c>
      <c r="K19" s="69">
        <f>'Financial Statements'!K20/'Financial Statements'!$K$6</f>
        <v>6.2703128590656909E-2</v>
      </c>
      <c r="L19" s="82">
        <f>'Financial Statements'!L20/'Financial Statements'!$L$6</f>
        <v>7.5408401502965045E-2</v>
      </c>
      <c r="M19" s="82">
        <f>'Financial Statements'!M20/'Financial Statements'!$M$6</f>
        <v>7.8738502404357383E-2</v>
      </c>
      <c r="N19" s="82">
        <f>'Financial Statements'!N20/'Financial Statements'!$N$6</f>
        <v>8.2014604367432589E-2</v>
      </c>
      <c r="O19" s="82">
        <f>'Financial Statements'!O20/'Financial Statements'!$O$6</f>
        <v>8.5264365384987176E-2</v>
      </c>
      <c r="P19" s="82">
        <f>'Financial Statements'!P20/'Financial Statements'!$P$6</f>
        <v>8.8513113289252557E-2</v>
      </c>
      <c r="T19" s="73"/>
      <c r="U19" s="73"/>
    </row>
    <row r="20" spans="1:21" s="75" customFormat="1" ht="16.2" thickBot="1" x14ac:dyDescent="0.35">
      <c r="A20" s="75" t="s">
        <v>24</v>
      </c>
      <c r="B20" s="71">
        <f>'Financial Statements'!B21/'Financial Statements'!$B$6</f>
        <v>0.13477146518581803</v>
      </c>
      <c r="C20" s="71">
        <f>'Financial Statements'!C21/'Financial Statements'!$C$6</f>
        <v>0.12255489021956088</v>
      </c>
      <c r="D20" s="71">
        <f>'Financial Statements'!D21/'Financial Statements'!$D$6</f>
        <v>0.24109985528219971</v>
      </c>
      <c r="E20" s="71">
        <f>'Financial Statements'!E21/'Financial Statements'!$E$6</f>
        <v>0.3136709903232448</v>
      </c>
      <c r="F20" s="71">
        <f>'Financial Statements'!F21/'Financial Statements'!$F$6</f>
        <v>0.35344827586206895</v>
      </c>
      <c r="G20" s="71">
        <f>'Financial Statements'!G21/'Financial Statements'!$G$6</f>
        <v>0.25609085913170909</v>
      </c>
      <c r="H20" s="71">
        <f>'Financial Statements'!H21/'Financial Statements'!$H$6</f>
        <v>0.25979010494752625</v>
      </c>
      <c r="I20" s="71">
        <f>'Financial Statements'!I21/'Financial Statements'!$I$6</f>
        <v>0.36233930296499961</v>
      </c>
      <c r="J20" s="71">
        <f>'Financial Statements'!J21/'Financial Statements'!$J$6</f>
        <v>0.16193371394676356</v>
      </c>
      <c r="K20" s="71">
        <f>'Financial Statements'!K21/'Financial Statements'!$K$6</f>
        <v>0.4884934834706674</v>
      </c>
      <c r="L20" s="83">
        <f>'Financial Statements'!L21/'Financial Statements'!$L$6</f>
        <v>0.28367922470163043</v>
      </c>
      <c r="M20" s="83">
        <f>'Financial Statements'!M21/'Financial Statements'!$M$6</f>
        <v>0.27916378125181257</v>
      </c>
      <c r="N20" s="83">
        <f>'Financial Statements'!N21/'Financial Statements'!$N$6</f>
        <v>0.27457063201270909</v>
      </c>
      <c r="O20" s="83">
        <f>'Financial Statements'!O21/'Financial Statements'!$O$6</f>
        <v>0.27000382371912612</v>
      </c>
      <c r="P20" s="83">
        <f>'Financial Statements'!P21/'Financial Statements'!$P$6</f>
        <v>0.26553933986775768</v>
      </c>
      <c r="T20" s="76"/>
      <c r="U20" s="76"/>
    </row>
    <row r="21" spans="1:21" ht="16.2" thickTop="1" x14ac:dyDescent="0.3">
      <c r="T21" s="14"/>
      <c r="U21" s="14"/>
    </row>
    <row r="22" spans="1:21" x14ac:dyDescent="0.3">
      <c r="D22" s="60"/>
      <c r="E22" s="60"/>
      <c r="F22" s="60"/>
      <c r="G22" s="60"/>
      <c r="H22" s="60"/>
      <c r="I22" s="60"/>
      <c r="J22" s="60"/>
      <c r="K22" s="60"/>
      <c r="T22" s="14"/>
      <c r="U22" s="14"/>
    </row>
    <row r="23" spans="1:21" x14ac:dyDescent="0.3">
      <c r="D23" s="60"/>
      <c r="E23" s="60"/>
      <c r="F23" s="60"/>
      <c r="G23" s="60"/>
      <c r="H23" s="60"/>
      <c r="I23" s="60"/>
      <c r="J23" s="60"/>
      <c r="K23" s="60"/>
      <c r="T23" s="14"/>
      <c r="U23" s="14"/>
    </row>
    <row r="24" spans="1:21" x14ac:dyDescent="0.3">
      <c r="A24" s="59"/>
      <c r="S24" s="14"/>
      <c r="T24" s="14"/>
    </row>
    <row r="25" spans="1:21" x14ac:dyDescent="0.3">
      <c r="A25" s="59"/>
      <c r="T25" s="13"/>
      <c r="U25" s="13"/>
    </row>
    <row r="26" spans="1:21" x14ac:dyDescent="0.3">
      <c r="B26" s="62">
        <v>42005</v>
      </c>
      <c r="C26" s="62">
        <v>42370</v>
      </c>
      <c r="D26" s="62">
        <v>42736</v>
      </c>
      <c r="E26" s="62">
        <v>43101</v>
      </c>
      <c r="F26" s="62">
        <v>43466</v>
      </c>
      <c r="G26" s="62">
        <v>43831</v>
      </c>
      <c r="H26" s="62">
        <v>44197</v>
      </c>
      <c r="I26" s="62">
        <v>44562</v>
      </c>
      <c r="J26" s="62">
        <v>44927</v>
      </c>
      <c r="K26" s="62">
        <v>45292</v>
      </c>
      <c r="L26" s="62">
        <v>45658</v>
      </c>
      <c r="M26" s="62">
        <v>46023</v>
      </c>
      <c r="N26" s="62">
        <v>46388</v>
      </c>
      <c r="O26" s="62">
        <v>46753</v>
      </c>
      <c r="P26" s="62">
        <v>47119</v>
      </c>
      <c r="S26" s="14"/>
      <c r="T26" s="14"/>
    </row>
    <row r="28" spans="1:21" ht="16.2" thickBot="1" x14ac:dyDescent="0.35">
      <c r="A28" t="s">
        <v>75</v>
      </c>
      <c r="B28" s="72">
        <f>'Financial Statements'!B29/'Financial Statements'!$B$46</f>
        <v>0.64199416747673932</v>
      </c>
      <c r="C28" s="72">
        <f>'Financial Statements'!C29/'Financial Statements'!$C$46</f>
        <v>0.68344640434192672</v>
      </c>
      <c r="D28" s="72">
        <f>'Financial Statements'!D29/'Financial Statements'!$D$46</f>
        <v>0.69078345696575549</v>
      </c>
      <c r="E28" s="72">
        <f>'Financial Statements'!E29/'Financial Statements'!$E$46</f>
        <v>0.63232808468997426</v>
      </c>
      <c r="F28" s="72">
        <f>'Financial Statements'!F29/'Financial Statements'!$F$46</f>
        <v>0.5583809810412278</v>
      </c>
      <c r="G28" s="72">
        <f>'Financial Statements'!G29/'Financial Statements'!$G$46</f>
        <v>0.62933872365001442</v>
      </c>
      <c r="H28" s="72">
        <f>'Financial Statements'!H29/'Financial Statements'!$H$46</f>
        <v>0.40154909520336218</v>
      </c>
      <c r="I28" s="72">
        <f>'Financial Statements'!I29/'Financial Statements'!$I$46</f>
        <v>0.47996016928055762</v>
      </c>
      <c r="J28" s="72">
        <f>'Financial Statements'!J29/'Financial Statements'!$J$46</f>
        <v>0.3228595017240542</v>
      </c>
      <c r="K28" s="72">
        <f>'Financial Statements'!K29/'Financial Statements'!$K$46</f>
        <v>0.39532619279454723</v>
      </c>
      <c r="L28" s="83">
        <f>'Financial Statements'!L29/'Financial Statements'!$L$46</f>
        <v>3.5692758576667842E-3</v>
      </c>
      <c r="M28" s="83">
        <f>'Financial Statements'!M29/'Financial Statements'!$M$46</f>
        <v>1.7475939689632709E-3</v>
      </c>
      <c r="N28" s="83">
        <f>'Financial Statements'!N29/'Financial Statements'!$N$46</f>
        <v>1.3955856298981508E-3</v>
      </c>
      <c r="O28" s="83">
        <f>'Financial Statements'!O29/'Financial Statements'!$O$46</f>
        <v>9.5785724322458479E-4</v>
      </c>
      <c r="P28" s="83">
        <f>'Financial Statements'!P29/'Financial Statements'!$P$46</f>
        <v>9.3652511440350166E-4</v>
      </c>
    </row>
    <row r="29" spans="1:21" ht="16.8" thickTop="1" thickBot="1" x14ac:dyDescent="0.35">
      <c r="A29" t="s">
        <v>76</v>
      </c>
      <c r="B29" s="72">
        <f>'Financial Statements'!B30/'Financial Statements'!$B$46</f>
        <v>6.582419108457159E-2</v>
      </c>
      <c r="C29" s="72">
        <f>'Financial Statements'!C30/'Financial Statements'!$C$46</f>
        <v>6.8521031207598365E-2</v>
      </c>
      <c r="D29" s="72">
        <f>'Financial Statements'!D30/'Financial Statements'!$D$46</f>
        <v>8.3934559495986175E-2</v>
      </c>
      <c r="E29" s="72">
        <f>'Financial Statements'!E30/'Financial Statements'!$E$46</f>
        <v>0.1125344720220621</v>
      </c>
      <c r="F29" s="72">
        <f>'Financial Statements'!F30/'Financial Statements'!$F$46</f>
        <v>0.10713210953957268</v>
      </c>
      <c r="G29" s="72">
        <f>'Financial Statements'!G30/'Financial Statements'!$G$46</f>
        <v>9.5697372220617957E-2</v>
      </c>
      <c r="H29" s="72">
        <f>'Financial Statements'!H30/'Financial Statements'!$H$46</f>
        <v>8.4366642353513252E-2</v>
      </c>
      <c r="I29" s="72">
        <f>'Financial Statements'!I30/'Financial Statements'!$I$46</f>
        <v>0.10523457125398873</v>
      </c>
      <c r="J29" s="72">
        <f>'Financial Statements'!J30/'Financial Statements'!$J$46</f>
        <v>9.2928949541061623E-2</v>
      </c>
      <c r="K29" s="72">
        <f>'Financial Statements'!K30/'Financial Statements'!$K$46</f>
        <v>0.15212694741966895</v>
      </c>
      <c r="L29" s="83">
        <f>'Financial Statements'!L30/'Financial Statements'!$L$46</f>
        <v>1.4728581661382603E-3</v>
      </c>
      <c r="M29" s="83">
        <f>'Financial Statements'!M30/'Financial Statements'!$M$46</f>
        <v>8.2931436895402211E-4</v>
      </c>
      <c r="N29" s="83">
        <f>'Financial Statements'!N30/'Financial Statements'!$N$46</f>
        <v>7.9472410859843907E-4</v>
      </c>
      <c r="O29" s="83">
        <f>'Financial Statements'!O30/'Financial Statements'!$O$46</f>
        <v>6.8182151230821537E-4</v>
      </c>
      <c r="P29" s="83">
        <f>'Financial Statements'!P30/'Financial Statements'!$P$46</f>
        <v>8.666279517476641E-4</v>
      </c>
    </row>
    <row r="30" spans="1:21" ht="16.8" thickTop="1" thickBot="1" x14ac:dyDescent="0.35">
      <c r="A30" t="s">
        <v>77</v>
      </c>
      <c r="B30" s="72">
        <f>'Financial Statements'!B31/'Financial Statements'!$B$46</f>
        <v>6.7074017497569777E-2</v>
      </c>
      <c r="C30" s="72">
        <f>'Financial Statements'!C31/'Financial Statements'!$C$46</f>
        <v>5.6716417910447764E-2</v>
      </c>
      <c r="D30" s="72">
        <f>'Financial Statements'!D31/'Financial Statements'!$D$46</f>
        <v>8.0682857433187691E-2</v>
      </c>
      <c r="E30" s="72">
        <f>'Financial Statements'!E31/'Financial Statements'!$E$46</f>
        <v>7.0812205319811403E-2</v>
      </c>
      <c r="F30" s="72">
        <f>'Financial Statements'!F31/'Financial Statements'!$F$46</f>
        <v>0.11849232621125488</v>
      </c>
      <c r="G30" s="72">
        <f>'Financial Statements'!G31/'Financial Statements'!$G$46</f>
        <v>5.654057175859082E-2</v>
      </c>
      <c r="H30" s="72">
        <f>'Financial Statements'!H31/'Financial Statements'!$H$46</f>
        <v>6.3422597339446357E-2</v>
      </c>
      <c r="I30" s="72">
        <f>'Financial Statements'!I31/'Financial Statements'!$I$46</f>
        <v>5.8953990992825944E-2</v>
      </c>
      <c r="J30" s="72">
        <f>'Financial Statements'!J31/'Financial Statements'!$J$46</f>
        <v>0.1252731776018649</v>
      </c>
      <c r="K30" s="72">
        <f>'Financial Statements'!K31/'Financial Statements'!$K$46</f>
        <v>8.0361489776046735E-2</v>
      </c>
      <c r="L30" s="83">
        <f>'Financial Statements'!L31/'Financial Statements'!$L$46</f>
        <v>8.2848271845277141E-4</v>
      </c>
      <c r="M30" s="83">
        <f>'Financial Statements'!M31/'Financial Statements'!$M$46</f>
        <v>4.6648933253663744E-4</v>
      </c>
      <c r="N30" s="83">
        <f>'Financial Statements'!N31/'Financial Statements'!$N$46</f>
        <v>4.47032311086622E-4</v>
      </c>
      <c r="O30" s="83">
        <f>'Financial Statements'!O31/'Financial Statements'!$O$46</f>
        <v>3.8352460067337117E-4</v>
      </c>
      <c r="P30" s="83">
        <f>'Financial Statements'!P31/'Financial Statements'!$P$46</f>
        <v>4.8747822285806101E-4</v>
      </c>
      <c r="S30" s="14"/>
      <c r="T30" s="14"/>
    </row>
    <row r="31" spans="1:21" ht="16.8" thickTop="1" thickBot="1" x14ac:dyDescent="0.35">
      <c r="A31" t="s">
        <v>78</v>
      </c>
      <c r="B31" s="72">
        <f>'Financial Statements'!B32/'Financial Statements'!$B$46</f>
        <v>9.7208721010970701E-3</v>
      </c>
      <c r="C31" s="72">
        <f>'Financial Statements'!C32/'Financial Statements'!$C$46</f>
        <v>1.2618724559023067E-2</v>
      </c>
      <c r="D31" s="72">
        <f>'Financial Statements'!D32/'Financial Statements'!$D$46</f>
        <v>1.1990651356569454E-2</v>
      </c>
      <c r="E31" s="72">
        <f>'Financial Statements'!E32/'Financial Statements'!$E$46</f>
        <v>7.6505648963615339E-3</v>
      </c>
      <c r="F31" s="72">
        <f>'Financial Statements'!F32/'Financial Statements'!$F$46</f>
        <v>1.0231718326813121E-2</v>
      </c>
      <c r="G31" s="72">
        <f>'Financial Statements'!G32/'Financial Statements'!$G$46</f>
        <v>9.0672827028587932E-3</v>
      </c>
      <c r="H31" s="72">
        <f>'Financial Statements'!H32/'Financial Statements'!$H$46</f>
        <v>8.3012052377479072E-3</v>
      </c>
      <c r="I31" s="72">
        <f>'Financial Statements'!I32/'Financial Statements'!$I$46</f>
        <v>8.2829791567655651E-3</v>
      </c>
      <c r="J31" s="72">
        <f>'Financial Statements'!J32/'Financial Statements'!$J$46</f>
        <v>1.9207420717789324E-2</v>
      </c>
      <c r="K31" s="72">
        <f>'Financial Statements'!K32/'Financial Statements'!$K$46</f>
        <v>4.6859785783836413E-2</v>
      </c>
      <c r="L31" s="83">
        <f>'Financial Statements'!L32/'Financial Statements'!$L$46</f>
        <v>4.6026817691820638E-4</v>
      </c>
      <c r="M31" s="83">
        <f>'Financial Statements'!M32/'Financial Statements'!$M$46</f>
        <v>2.5916074029813191E-4</v>
      </c>
      <c r="N31" s="83">
        <f>'Financial Statements'!N32/'Financial Statements'!$N$46</f>
        <v>2.483512839370122E-4</v>
      </c>
      <c r="O31" s="83">
        <f>'Financial Statements'!O32/'Financial Statements'!$O$46</f>
        <v>2.1306922259631733E-4</v>
      </c>
      <c r="P31" s="83">
        <f>'Financial Statements'!P32/'Financial Statements'!$P$46</f>
        <v>2.7082123492114501E-4</v>
      </c>
      <c r="S31" s="14"/>
      <c r="T31" s="14"/>
    </row>
    <row r="32" spans="1:21" ht="16.8" thickTop="1" thickBot="1" x14ac:dyDescent="0.35">
      <c r="A32" t="s">
        <v>79</v>
      </c>
      <c r="B32" s="69">
        <f>'Financial Statements'!B33/'Financial Statements'!$B$46</f>
        <v>8.7487848909873628E-3</v>
      </c>
      <c r="C32" s="69">
        <f>'Financial Statements'!C33/'Financial Statements'!$C$46</f>
        <v>0</v>
      </c>
      <c r="D32" s="69">
        <f>'Financial Statements'!D33/'Financial Statements'!$D$46</f>
        <v>0</v>
      </c>
      <c r="E32" s="69">
        <f>'Financial Statements'!E33/'Financial Statements'!$E$46</f>
        <v>0</v>
      </c>
      <c r="F32" s="69">
        <f>'Financial Statements'!F33/'Financial Statements'!$F$46</f>
        <v>0</v>
      </c>
      <c r="G32" s="69">
        <f>'Financial Statements'!G33/'Financial Statements'!$G$46</f>
        <v>0</v>
      </c>
      <c r="H32" s="69">
        <f>'Financial Statements'!H33/'Financial Statements'!$H$46</f>
        <v>0</v>
      </c>
      <c r="I32" s="69">
        <f>'Financial Statements'!I33/'Financial Statements'!$I$46</f>
        <v>0</v>
      </c>
      <c r="J32" s="69">
        <f>'Financial Statements'!J33/'Financial Statements'!$J$46</f>
        <v>0</v>
      </c>
      <c r="K32" s="69">
        <f>'Financial Statements'!K33/'Financial Statements'!$K$46</f>
        <v>0</v>
      </c>
      <c r="L32" s="83">
        <f>'Financial Statements'!L33/'Financial Statements'!$L$46</f>
        <v>0</v>
      </c>
      <c r="M32" s="83">
        <f>'Financial Statements'!M33/'Financial Statements'!$M$46</f>
        <v>0</v>
      </c>
      <c r="N32" s="83">
        <f>'Financial Statements'!N33/'Financial Statements'!$N$46</f>
        <v>0</v>
      </c>
      <c r="O32" s="83">
        <f>'Financial Statements'!O33/'Financial Statements'!$O$46</f>
        <v>0</v>
      </c>
      <c r="P32" s="83">
        <f>'Financial Statements'!P33/'Financial Statements'!$P$46</f>
        <v>0</v>
      </c>
    </row>
    <row r="33" spans="1:20" ht="16.8" thickTop="1" thickBot="1" x14ac:dyDescent="0.35">
      <c r="A33" t="s">
        <v>26</v>
      </c>
      <c r="B33" s="72">
        <f>'Financial Statements'!B34/'Financial Statements'!$B$46</f>
        <v>0.7933620330509652</v>
      </c>
      <c r="C33" s="72">
        <f>'Financial Statements'!C34/'Financial Statements'!$C$46</f>
        <v>0.82130257801899598</v>
      </c>
      <c r="D33" s="72">
        <f>'Financial Statements'!D34/'Financial Statements'!$D$46</f>
        <v>0.86739152525149887</v>
      </c>
      <c r="E33" s="72">
        <f>'Financial Statements'!E34/'Financial Statements'!$E$46</f>
        <v>0.82332532692820926</v>
      </c>
      <c r="F33" s="72">
        <f>'Financial Statements'!F34/'Financial Statements'!$F$46</f>
        <v>0.79423713511886851</v>
      </c>
      <c r="G33" s="72">
        <f>'Financial Statements'!G34/'Financial Statements'!$G$46</f>
        <v>0.79064395033208201</v>
      </c>
      <c r="H33" s="72">
        <f>'Financial Statements'!H34/'Financial Statements'!$H$46</f>
        <v>0.55763954013406969</v>
      </c>
      <c r="I33" s="72">
        <f>'Financial Statements'!I34/'Financial Statements'!$I$46</f>
        <v>0.65243171068413786</v>
      </c>
      <c r="J33" s="72">
        <f>'Financial Statements'!J34/'Financial Statements'!$J$46</f>
        <v>0.56026904958477008</v>
      </c>
      <c r="K33" s="72">
        <f>'Financial Statements'!K34/'Financial Statements'!$K$46</f>
        <v>0.67467441577409937</v>
      </c>
      <c r="L33" s="83">
        <f>'Financial Statements'!L34/'Financial Statements'!$L$46</f>
        <v>2.7616090615092377E-3</v>
      </c>
      <c r="M33" s="83">
        <f>'Financial Statements'!M34/'Financial Statements'!$M$46</f>
        <v>1.5549644417887916E-3</v>
      </c>
      <c r="N33" s="83">
        <f>'Financial Statements'!N34/'Financial Statements'!$N$46</f>
        <v>1.4901077036220734E-3</v>
      </c>
      <c r="O33" s="83">
        <f>'Financial Statements'!O34/'Financial Statements'!$O$46</f>
        <v>1.2784153355779038E-3</v>
      </c>
      <c r="P33" s="83">
        <f>'Financial Statements'!P34/'Financial Statements'!$P$46</f>
        <v>1.6249274095268701E-3</v>
      </c>
      <c r="S33" s="14"/>
      <c r="T33" s="14"/>
    </row>
    <row r="34" spans="1:20" ht="16.8" thickTop="1" thickBot="1" x14ac:dyDescent="0.35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83">
        <f>'Financial Statements'!L35/'Financial Statements'!$L$46</f>
        <v>0</v>
      </c>
      <c r="M34" s="83">
        <f>'Financial Statements'!M35/'Financial Statements'!$M$46</f>
        <v>0</v>
      </c>
      <c r="N34" s="83">
        <f>'Financial Statements'!N35/'Financial Statements'!$N$46</f>
        <v>0</v>
      </c>
      <c r="O34" s="83">
        <f>'Financial Statements'!O35/'Financial Statements'!$O$46</f>
        <v>0</v>
      </c>
      <c r="P34" s="83">
        <f>'Financial Statements'!P35/'Financial Statements'!$P$46</f>
        <v>0</v>
      </c>
      <c r="S34" s="14"/>
      <c r="T34" s="14"/>
    </row>
    <row r="35" spans="1:20" ht="16.8" thickTop="1" thickBot="1" x14ac:dyDescent="0.35">
      <c r="A35" t="s">
        <v>57</v>
      </c>
      <c r="B35" s="72">
        <f>'Financial Statements'!B36/'Financial Statements'!$B$46</f>
        <v>0</v>
      </c>
      <c r="C35" s="72">
        <f>'Financial Statements'!C36/'Financial Statements'!$C$46</f>
        <v>0</v>
      </c>
      <c r="D35" s="72">
        <f>'Financial Statements'!D36/'Financial Statements'!$D$46</f>
        <v>0</v>
      </c>
      <c r="E35" s="72">
        <f>'Financial Statements'!E36/'Financial Statements'!$E$46</f>
        <v>0</v>
      </c>
      <c r="F35" s="72">
        <f>'Financial Statements'!F36/'Financial Statements'!$F$46</f>
        <v>0</v>
      </c>
      <c r="G35" s="72">
        <f>'Financial Statements'!G36/'Financial Statements'!$G$46</f>
        <v>0</v>
      </c>
      <c r="H35" s="72">
        <f>'Financial Statements'!H36/'Financial Statements'!$H$46</f>
        <v>0</v>
      </c>
      <c r="I35" s="72">
        <f>'Financial Statements'!I36/'Financial Statements'!$I$46</f>
        <v>0</v>
      </c>
      <c r="J35" s="72">
        <f>'Financial Statements'!J36/'Financial Statements'!$J$46</f>
        <v>0</v>
      </c>
      <c r="K35" s="72">
        <f>'Financial Statements'!K36/'Financial Statements'!$K$46</f>
        <v>0</v>
      </c>
      <c r="L35" s="83">
        <f>'Financial Statements'!L36/'Financial Statements'!$L$46</f>
        <v>0.99336669972213787</v>
      </c>
      <c r="M35" s="83">
        <f>'Financial Statements'!M36/'Financial Statements'!$M$46</f>
        <v>0.99642767967786716</v>
      </c>
      <c r="N35" s="83">
        <f>'Financial Statements'!N36/'Financial Statements'!$N$46</f>
        <v>0.99674987065793119</v>
      </c>
      <c r="O35" s="83">
        <f>'Financial Statements'!O36/'Financial Statements'!$O$46</f>
        <v>0.99736018769781565</v>
      </c>
      <c r="P35" s="83">
        <f>'Financial Statements'!P36/'Financial Statements'!$P$46</f>
        <v>0.99681900490632069</v>
      </c>
      <c r="S35" s="14"/>
      <c r="T35" s="14"/>
    </row>
    <row r="36" spans="1:20" ht="16.8" thickTop="1" thickBot="1" x14ac:dyDescent="0.35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83">
        <f>'Financial Statements'!L37/'Financial Statements'!$L$46</f>
        <v>0</v>
      </c>
      <c r="M36" s="83">
        <f>'Financial Statements'!M37/'Financial Statements'!$M$46</f>
        <v>0</v>
      </c>
      <c r="N36" s="83">
        <f>'Financial Statements'!N37/'Financial Statements'!$N$46</f>
        <v>0</v>
      </c>
      <c r="O36" s="83">
        <f>'Financial Statements'!O37/'Financial Statements'!$O$46</f>
        <v>0</v>
      </c>
      <c r="P36" s="83">
        <f>'Financial Statements'!P37/'Financial Statements'!$P$46</f>
        <v>0</v>
      </c>
    </row>
    <row r="37" spans="1:20" ht="16.8" thickTop="1" thickBot="1" x14ac:dyDescent="0.35">
      <c r="A37" t="s">
        <v>80</v>
      </c>
      <c r="B37" s="72">
        <f>'Financial Statements'!B38/'Financial Statements'!$B$46</f>
        <v>7.7350368004443823E-2</v>
      </c>
      <c r="C37" s="72">
        <f>'Financial Statements'!C38/'Financial Statements'!$C$46</f>
        <v>6.3229308005427406E-2</v>
      </c>
      <c r="D37" s="72">
        <f>'Financial Statements'!D38/'Financial Statements'!$D$46</f>
        <v>5.2941774209938015E-2</v>
      </c>
      <c r="E37" s="72">
        <f>'Financial Statements'!E38/'Financial Statements'!$E$46</f>
        <v>8.8693176763633128E-2</v>
      </c>
      <c r="F37" s="72">
        <f>'Financial Statements'!F38/'Financial Statements'!$F$46</f>
        <v>0.10562744507974722</v>
      </c>
      <c r="G37" s="72">
        <f>'Financial Statements'!G38/'Financial Statements'!$G$46</f>
        <v>0.132370776783136</v>
      </c>
      <c r="H37" s="72">
        <f>'Financial Statements'!H38/'Financial Statements'!$H$46</f>
        <v>9.919766593727207E-2</v>
      </c>
      <c r="I37" s="72">
        <f>'Financial Statements'!I38/'Financial Statements'!$I$46</f>
        <v>8.16303437662661E-2</v>
      </c>
      <c r="J37" s="72">
        <f>'Financial Statements'!J38/'Financial Statements'!$J$46</f>
        <v>0.11764848720314701</v>
      </c>
      <c r="K37" s="72">
        <f>'Financial Statements'!K38/'Financial Statements'!$K$46</f>
        <v>8.0026777020447901E-2</v>
      </c>
      <c r="L37" s="83">
        <f>'Financial Statements'!L38/'Financial Statements'!$L$46</f>
        <v>1.6569654369055428E-3</v>
      </c>
      <c r="M37" s="83">
        <f>'Financial Statements'!M38/'Financial Statements'!$M$46</f>
        <v>9.3297866507327488E-4</v>
      </c>
      <c r="N37" s="83">
        <f>'Financial Statements'!N38/'Financial Statements'!$N$46</f>
        <v>8.9406462217324399E-4</v>
      </c>
      <c r="O37" s="83">
        <f>'Financial Statements'!O38/'Financial Statements'!$O$46</f>
        <v>7.6704920134674235E-4</v>
      </c>
      <c r="P37" s="83">
        <f>'Financial Statements'!P38/'Financial Statements'!$P$46</f>
        <v>9.7495644571612202E-4</v>
      </c>
    </row>
    <row r="38" spans="1:20" ht="16.8" thickTop="1" thickBot="1" x14ac:dyDescent="0.35">
      <c r="A38" t="s">
        <v>81</v>
      </c>
      <c r="B38" s="72">
        <f>'Financial Statements'!B39/'Financial Statements'!$B$46</f>
        <v>0</v>
      </c>
      <c r="C38" s="72">
        <f>'Financial Statements'!C39/'Financial Statements'!$C$46</f>
        <v>0</v>
      </c>
      <c r="D38" s="72">
        <f>'Financial Statements'!D39/'Financial Statements'!$D$46</f>
        <v>0</v>
      </c>
      <c r="E38" s="72">
        <f>'Financial Statements'!E39/'Financial Statements'!$E$46</f>
        <v>0</v>
      </c>
      <c r="F38" s="72">
        <f>'Financial Statements'!F39/'Financial Statements'!$F$46</f>
        <v>0</v>
      </c>
      <c r="G38" s="72">
        <f>'Financial Statements'!G39/'Financial Statements'!$G$46</f>
        <v>4.4470112619116372E-3</v>
      </c>
      <c r="H38" s="72">
        <f>'Financial Statements'!H39/'Financial Statements'!$H$46</f>
        <v>5.0015629884338853E-3</v>
      </c>
      <c r="I38" s="72">
        <f>'Financial Statements'!I39/'Financial Statements'!$I$46</f>
        <v>6.0198700975400005E-3</v>
      </c>
      <c r="J38" s="72">
        <f>'Financial Statements'!J39/'Financial Statements'!$J$46</f>
        <v>7.2604535962313629E-3</v>
      </c>
      <c r="K38" s="72">
        <f>'Financial Statements'!K39/'Financial Statements'!$K$46</f>
        <v>2.3521178188899709E-2</v>
      </c>
      <c r="L38" s="83">
        <f>'Financial Statements'!L39/'Financial Statements'!$L$46</f>
        <v>2.123653200412888E-4</v>
      </c>
      <c r="M38" s="83">
        <f>'Financial Statements'!M39/'Financial Statements'!$M$46</f>
        <v>1.0397861283933254E-4</v>
      </c>
      <c r="N38" s="83">
        <f>'Financial Statements'!N39/'Financial Statements'!$N$46</f>
        <v>8.3034766926667997E-5</v>
      </c>
      <c r="O38" s="83">
        <f>'Financial Statements'!O39/'Financial Statements'!$O$46</f>
        <v>5.6990736531142555E-5</v>
      </c>
      <c r="P38" s="83">
        <f>'Financial Statements'!P39/'Financial Statements'!$P$46</f>
        <v>5.5721514272930018E-5</v>
      </c>
      <c r="S38" s="14"/>
      <c r="T38" s="14"/>
    </row>
    <row r="39" spans="1:20" ht="16.8" thickTop="1" thickBot="1" x14ac:dyDescent="0.35">
      <c r="A39" t="s">
        <v>82</v>
      </c>
      <c r="B39" s="72">
        <f>'Financial Statements'!B40/'Financial Statements'!$B$46</f>
        <v>8.5821413692542703E-2</v>
      </c>
      <c r="C39" s="72">
        <f>'Financial Statements'!C40/'Financial Statements'!$C$46</f>
        <v>8.3853459972862962E-2</v>
      </c>
      <c r="D39" s="72">
        <f>'Financial Statements'!D40/'Financial Statements'!$D$46</f>
        <v>6.279849608779596E-2</v>
      </c>
      <c r="E39" s="72">
        <f>'Financial Statements'!E40/'Financial Statements'!$E$46</f>
        <v>5.4977315185481719E-2</v>
      </c>
      <c r="F39" s="72">
        <f>'Financial Statements'!F40/'Financial Statements'!$F$46</f>
        <v>4.6494131808606683E-2</v>
      </c>
      <c r="G39" s="72">
        <f>'Financial Statements'!G40/'Financial Statements'!$G$46</f>
        <v>3.5691596881316776E-2</v>
      </c>
      <c r="H39" s="72">
        <f>'Financial Statements'!H40/'Financial Statements'!$H$46</f>
        <v>0.14563578896182836</v>
      </c>
      <c r="I39" s="72">
        <f>'Financial Statements'!I40/'Financial Statements'!$I$46</f>
        <v>9.8422612985719776E-2</v>
      </c>
      <c r="J39" s="72">
        <f>'Financial Statements'!J40/'Financial Statements'!$J$46</f>
        <v>0.10616288669807197</v>
      </c>
      <c r="K39" s="72">
        <f>'Financial Statements'!K40/'Financial Statements'!$K$46</f>
        <v>6.739897760467381E-2</v>
      </c>
      <c r="L39" s="83">
        <f>'Financial Statements'!L40/'Financial Statements'!$L$46</f>
        <v>6.0852417062283925E-4</v>
      </c>
      <c r="M39" s="83">
        <f>'Financial Statements'!M40/'Financial Statements'!$M$46</f>
        <v>2.9794647792900594E-4</v>
      </c>
      <c r="N39" s="83">
        <f>'Financial Statements'!N40/'Financial Statements'!$N$46</f>
        <v>2.3793274093476016E-4</v>
      </c>
      <c r="O39" s="83">
        <f>'Financial Statements'!O40/'Financial Statements'!$O$46</f>
        <v>1.6330463313904366E-4</v>
      </c>
      <c r="P39" s="83">
        <f>'Financial Statements'!P40/'Financial Statements'!$P$46</f>
        <v>1.5966772847935315E-4</v>
      </c>
    </row>
    <row r="40" spans="1:20" ht="16.8" thickTop="1" thickBot="1" x14ac:dyDescent="0.35">
      <c r="A40" t="s">
        <v>83</v>
      </c>
      <c r="B40" s="72">
        <f>'Financial Statements'!B41/'Financial Statements'!$B$46</f>
        <v>3.0829051520622135E-2</v>
      </c>
      <c r="C40" s="72">
        <f>'Financial Statements'!C41/'Financial Statements'!$C$46</f>
        <v>2.2523744911804613E-2</v>
      </c>
      <c r="D40" s="72">
        <f>'Financial Statements'!D41/'Financial Statements'!$D$46</f>
        <v>1.0568031704095112E-2</v>
      </c>
      <c r="E40" s="72">
        <f>'Financial Statements'!E41/'Financial Statements'!$E$46</f>
        <v>4.6259229605906949E-3</v>
      </c>
      <c r="F40" s="72">
        <f>'Financial Statements'!F41/'Financial Statements'!$F$46</f>
        <v>3.3854950346072824E-3</v>
      </c>
      <c r="G40" s="72">
        <f>'Financial Statements'!G41/'Financial Statements'!$G$46</f>
        <v>2.829916257580133E-3</v>
      </c>
      <c r="H40" s="72">
        <f>'Financial Statements'!H41/'Financial Statements'!$H$46</f>
        <v>9.506442985655239E-2</v>
      </c>
      <c r="I40" s="72">
        <f>'Financial Statements'!I41/'Financial Statements'!$I$46</f>
        <v>5.2934120895285944E-2</v>
      </c>
      <c r="J40" s="72">
        <f>'Financial Statements'!J41/'Financial Statements'!$J$46</f>
        <v>4.0697392064494194E-2</v>
      </c>
      <c r="K40" s="72">
        <f>'Financial Statements'!K41/'Financial Statements'!$K$46</f>
        <v>1.6918208373904578E-2</v>
      </c>
      <c r="L40" s="83">
        <f>'Financial Statements'!L41/'Financial Statements'!$L$46</f>
        <v>1.5274918233241472E-4</v>
      </c>
      <c r="M40" s="83">
        <f>'Financial Statements'!M41/'Financial Statements'!$M$46</f>
        <v>7.478927391807101E-5</v>
      </c>
      <c r="N40" s="83">
        <f>'Financial Statements'!N41/'Financial Statements'!$N$46</f>
        <v>5.9724877634188101E-5</v>
      </c>
      <c r="O40" s="83">
        <f>'Financial Statements'!O41/'Financial Statements'!$O$46</f>
        <v>4.0992043352283646E-5</v>
      </c>
      <c r="P40" s="83">
        <f>'Financial Statements'!P41/'Financial Statements'!$P$46</f>
        <v>4.0079122814681873E-5</v>
      </c>
    </row>
    <row r="41" spans="1:20" ht="16.8" thickTop="1" thickBot="1" x14ac:dyDescent="0.35">
      <c r="A41" t="s">
        <v>84</v>
      </c>
      <c r="B41" s="72">
        <f>'Financial Statements'!B42/'Financial Statements'!$B$46</f>
        <v>0</v>
      </c>
      <c r="C41" s="72">
        <f>'Financial Statements'!C42/'Financial Statements'!$C$46</f>
        <v>0</v>
      </c>
      <c r="D41" s="72">
        <f>'Financial Statements'!D42/'Financial Statements'!$D$46</f>
        <v>0</v>
      </c>
      <c r="E41" s="72">
        <f>'Financial Statements'!E42/'Financial Statements'!$E$46</f>
        <v>2.1795213948936926E-2</v>
      </c>
      <c r="F41" s="72">
        <f>'Financial Statements'!F42/'Financial Statements'!$F$46</f>
        <v>4.2130604875112852E-2</v>
      </c>
      <c r="G41" s="72">
        <f>'Financial Statements'!G42/'Financial Statements'!$G$46</f>
        <v>3.1648859370488017E-2</v>
      </c>
      <c r="H41" s="72">
        <f>'Financial Statements'!H42/'Financial Statements'!$H$46</f>
        <v>2.7994859504706333E-2</v>
      </c>
      <c r="I41" s="72">
        <f>'Financial Statements'!I42/'Financial Statements'!$I$46</f>
        <v>2.7655192703736394E-2</v>
      </c>
      <c r="J41" s="72">
        <f>'Financial Statements'!J42/'Financial Statements'!$J$46</f>
        <v>8.2463212082948864E-2</v>
      </c>
      <c r="K41" s="72">
        <f>'Financial Statements'!K42/'Financial Statements'!$K$46</f>
        <v>9.2517648490749754E-2</v>
      </c>
      <c r="L41" s="83">
        <f>'Financial Statements'!L42/'Financial Statements'!$L$46</f>
        <v>8.3531274978724277E-4</v>
      </c>
      <c r="M41" s="83">
        <f>'Financial Statements'!M42/'Financial Statements'!$M$46</f>
        <v>4.0898702760412757E-4</v>
      </c>
      <c r="N41" s="83">
        <f>'Financial Statements'!N42/'Financial Statements'!$N$46</f>
        <v>3.2660699720638296E-4</v>
      </c>
      <c r="O41" s="83">
        <f>'Financial Statements'!O42/'Financial Statements'!$O$46</f>
        <v>2.2416602124571659E-4</v>
      </c>
      <c r="P41" s="83">
        <f>'Financial Statements'!P42/'Financial Statements'!$P$46</f>
        <v>2.1917369229863354E-4</v>
      </c>
    </row>
    <row r="42" spans="1:20" ht="16.8" thickTop="1" thickBot="1" x14ac:dyDescent="0.35">
      <c r="A42" t="s">
        <v>85</v>
      </c>
      <c r="B42" s="69">
        <f>'Financial Statements'!B43/'Financial Statements'!$B$46</f>
        <v>1.263713373142619E-2</v>
      </c>
      <c r="C42" s="69">
        <f>'Financial Statements'!C43/'Financial Statements'!$C$46</f>
        <v>9.0909090909090905E-3</v>
      </c>
      <c r="D42" s="69">
        <f>'Financial Statements'!D43/'Financial Statements'!$D$46</f>
        <v>6.3001727466720859E-3</v>
      </c>
      <c r="E42" s="69">
        <f>'Financial Statements'!E43/'Financial Statements'!$E$46</f>
        <v>6.5830442131482965E-3</v>
      </c>
      <c r="F42" s="69">
        <f>'Financial Statements'!F43/'Financial Statements'!$F$46</f>
        <v>8.1251880830574778E-3</v>
      </c>
      <c r="G42" s="69">
        <f>'Financial Statements'!G43/'Financial Statements'!$G$46</f>
        <v>2.3678891134854174E-3</v>
      </c>
      <c r="H42" s="69">
        <f>'Financial Statements'!H43/'Financial Statements'!$H$46</f>
        <v>6.9466152617137303E-2</v>
      </c>
      <c r="I42" s="69">
        <f>'Financial Statements'!I43/'Financial Statements'!$I$46</f>
        <v>8.0906148867313912E-2</v>
      </c>
      <c r="J42" s="69">
        <f>'Financial Statements'!J43/'Financial Statements'!$J$46</f>
        <v>8.5498518770336554E-2</v>
      </c>
      <c r="K42" s="69">
        <f>'Financial Statements'!K43/'Financial Statements'!$K$46</f>
        <v>4.4942794547224926E-2</v>
      </c>
      <c r="L42" s="83">
        <f>'Financial Statements'!L43/'Financial Statements'!$L$46</f>
        <v>4.0577435666362688E-4</v>
      </c>
      <c r="M42" s="83">
        <f>'Financial Statements'!M43/'Financial Statements'!$M$46</f>
        <v>1.9867582298019944E-4</v>
      </c>
      <c r="N42" s="83">
        <f>'Financial Statements'!N43/'Financial Statements'!$N$46</f>
        <v>1.5865763357139536E-4</v>
      </c>
      <c r="O42" s="83">
        <f>'Financial Statements'!O43/'Financial Statements'!$O$46</f>
        <v>1.0889433099158804E-4</v>
      </c>
      <c r="P42" s="83">
        <f>'Financial Statements'!P43/'Financial Statements'!$P$46</f>
        <v>1.0646918057065671E-4</v>
      </c>
    </row>
    <row r="43" spans="1:20" ht="16.8" thickTop="1" thickBot="1" x14ac:dyDescent="0.35">
      <c r="A43" t="s">
        <v>86</v>
      </c>
      <c r="B43" s="72">
        <f>'Financial Statements'!B44/'Financial Statements'!$B$46</f>
        <v>0.20663796694903486</v>
      </c>
      <c r="C43" s="72">
        <f>'Financial Statements'!C44/'Financial Statements'!$C$46</f>
        <v>0.17869742198100408</v>
      </c>
      <c r="D43" s="72">
        <f>'Financial Statements'!D44/'Financial Statements'!$D$46</f>
        <v>0.13260847474850118</v>
      </c>
      <c r="E43" s="72">
        <f>'Financial Statements'!E44/'Financial Statements'!$E$46</f>
        <v>0.17667467307179077</v>
      </c>
      <c r="F43" s="72">
        <f>'Financial Statements'!F44/'Financial Statements'!$F$46</f>
        <v>0.20576286488113152</v>
      </c>
      <c r="G43" s="72">
        <f>'Financial Statements'!G44/'Financial Statements'!$G$46</f>
        <v>0.20935604966791799</v>
      </c>
      <c r="H43" s="72">
        <f>'Financial Statements'!H44/'Financial Statements'!$H$46</f>
        <v>0.44236045986593031</v>
      </c>
      <c r="I43" s="72">
        <f>'Financial Statements'!I44/'Financial Statements'!$I$46</f>
        <v>0.34756828931586214</v>
      </c>
      <c r="J43" s="72">
        <f>'Financial Statements'!J44/'Financial Statements'!$J$46</f>
        <v>0.43973095041522997</v>
      </c>
      <c r="K43" s="72">
        <f>'Financial Statements'!K44/'Financial Statements'!$K$46</f>
        <v>0.32532558422590069</v>
      </c>
      <c r="L43" s="83">
        <f>'Financial Statements'!L44/'Financial Statements'!$L$46</f>
        <v>3.8716912163529551E-3</v>
      </c>
      <c r="M43" s="83">
        <f>'Financial Statements'!M44/'Financial Statements'!$M$46</f>
        <v>2.0173558803440114E-3</v>
      </c>
      <c r="N43" s="83">
        <f>'Financial Statements'!N44/'Financial Statements'!$N$46</f>
        <v>1.7600216384466385E-3</v>
      </c>
      <c r="O43" s="83">
        <f>'Financial Statements'!O44/'Financial Statements'!$O$46</f>
        <v>1.361396966606517E-3</v>
      </c>
      <c r="P43" s="83">
        <f>'Financial Statements'!P44/'Financial Statements'!$P$46</f>
        <v>1.5560676841523775E-3</v>
      </c>
    </row>
    <row r="44" spans="1:20" ht="16.8" thickTop="1" thickBot="1" x14ac:dyDescent="0.35">
      <c r="B44" s="69">
        <f>'Financial Statements'!B45/'Financial Statements'!$B$46</f>
        <v>0</v>
      </c>
      <c r="C44" s="69">
        <f>'Financial Statements'!C45/'Financial Statements'!$C$46</f>
        <v>0</v>
      </c>
      <c r="D44" s="69">
        <f>'Financial Statements'!D45/'Financial Statements'!$D$46</f>
        <v>0</v>
      </c>
      <c r="E44" s="69">
        <f>'Financial Statements'!E45/'Financial Statements'!$E$46</f>
        <v>0</v>
      </c>
      <c r="F44" s="69">
        <f>'Financial Statements'!F45/'Financial Statements'!$F$46</f>
        <v>0</v>
      </c>
      <c r="G44" s="69">
        <f>'Financial Statements'!G45/'Financial Statements'!$G$46</f>
        <v>0</v>
      </c>
      <c r="H44" s="69">
        <f>'Financial Statements'!H45/'Financial Statements'!$H$46</f>
        <v>0</v>
      </c>
      <c r="I44" s="69">
        <f>'Financial Statements'!I45/'Financial Statements'!$I$46</f>
        <v>0</v>
      </c>
      <c r="J44" s="69">
        <f>'Financial Statements'!J45/'Financial Statements'!$J$46</f>
        <v>0</v>
      </c>
      <c r="K44" s="69">
        <f>'Financial Statements'!K45/'Financial Statements'!$K$46</f>
        <v>0</v>
      </c>
      <c r="L44" s="83">
        <f>'Financial Statements'!L45/'Financial Statements'!$L$46</f>
        <v>0</v>
      </c>
      <c r="M44" s="83">
        <f>'Financial Statements'!M45/'Financial Statements'!$M$46</f>
        <v>0</v>
      </c>
      <c r="N44" s="83">
        <f>'Financial Statements'!N45/'Financial Statements'!$N$46</f>
        <v>0</v>
      </c>
      <c r="O44" s="83">
        <f>'Financial Statements'!O45/'Financial Statements'!$O$46</f>
        <v>0</v>
      </c>
      <c r="P44" s="83">
        <f>'Financial Statements'!P45/'Financial Statements'!$P$46</f>
        <v>0</v>
      </c>
    </row>
    <row r="45" spans="1:20" ht="16.8" thickTop="1" thickBot="1" x14ac:dyDescent="0.35">
      <c r="A45" t="s">
        <v>87</v>
      </c>
      <c r="B45" s="74">
        <f>'Financial Statements'!B46/'Financial Statements'!$B$46</f>
        <v>1</v>
      </c>
      <c r="C45" s="74">
        <f>'Financial Statements'!C46/'Financial Statements'!$C$46</f>
        <v>1</v>
      </c>
      <c r="D45" s="74">
        <f>'Financial Statements'!D46/'Financial Statements'!$D$46</f>
        <v>1</v>
      </c>
      <c r="E45" s="74">
        <f>'Financial Statements'!E46/'Financial Statements'!$E$46</f>
        <v>1</v>
      </c>
      <c r="F45" s="74">
        <f>'Financial Statements'!F46/'Financial Statements'!$F$46</f>
        <v>1</v>
      </c>
      <c r="G45" s="74">
        <f>'Financial Statements'!G46/'Financial Statements'!$G$46</f>
        <v>1</v>
      </c>
      <c r="H45" s="74">
        <f>'Financial Statements'!H46/'Financial Statements'!$H$46</f>
        <v>1</v>
      </c>
      <c r="I45" s="74">
        <f>'Financial Statements'!I46/'Financial Statements'!$I$46</f>
        <v>1</v>
      </c>
      <c r="J45" s="74">
        <f>'Financial Statements'!J46/'Financial Statements'!$J$46</f>
        <v>1</v>
      </c>
      <c r="K45" s="74">
        <f>'Financial Statements'!K46/'Financial Statements'!$K$46</f>
        <v>1</v>
      </c>
      <c r="L45" s="83">
        <f>'Financial Statements'!L46/'Financial Statements'!$L$46</f>
        <v>1</v>
      </c>
      <c r="M45" s="83">
        <f>'Financial Statements'!M46/'Financial Statements'!$M$46</f>
        <v>1</v>
      </c>
      <c r="N45" s="83">
        <f>'Financial Statements'!N46/'Financial Statements'!$N$46</f>
        <v>1</v>
      </c>
      <c r="O45" s="83">
        <f>'Financial Statements'!O46/'Financial Statements'!$O$46</f>
        <v>1</v>
      </c>
      <c r="P45" s="83">
        <f>'Financial Statements'!P46/'Financial Statements'!$P$46</f>
        <v>1</v>
      </c>
    </row>
    <row r="46" spans="1:20" ht="16.2" thickTop="1" x14ac:dyDescent="0.3">
      <c r="B46" s="60"/>
      <c r="C46" s="60"/>
      <c r="D46" s="60"/>
      <c r="E46" s="60"/>
      <c r="F46" s="60"/>
      <c r="G46" s="60"/>
      <c r="H46" s="60"/>
      <c r="I46" s="60"/>
      <c r="J46" s="60"/>
      <c r="K46" s="60"/>
    </row>
    <row r="47" spans="1:20" x14ac:dyDescent="0.3"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1:20" ht="16.2" thickBot="1" x14ac:dyDescent="0.35">
      <c r="A48" t="s">
        <v>88</v>
      </c>
      <c r="B48" s="72">
        <f>'Financial Statements'!B49/'Financial Statements'!$B$72</f>
        <v>4.0688793223163447E-2</v>
      </c>
      <c r="C48" s="72">
        <f>'Financial Statements'!C49/'Financial Statements'!$C$72</f>
        <v>4.016282225237449E-2</v>
      </c>
      <c r="D48" s="72">
        <f>'Financial Statements'!D49/'Financial Statements'!$D$72</f>
        <v>4.9283609389289704E-2</v>
      </c>
      <c r="E48" s="72">
        <f>'Financial Statements'!E49/'Financial Statements'!$E$72</f>
        <v>5.302019393292412E-2</v>
      </c>
      <c r="F48" s="72">
        <f>'Financial Statements'!F49/'Financial Statements'!$F$72</f>
        <v>3.8444176948540479E-2</v>
      </c>
      <c r="G48" s="72">
        <f>'Financial Statements'!G49/'Financial Statements'!$G$72</f>
        <v>3.9676580999133702E-2</v>
      </c>
      <c r="H48" s="72">
        <f>'Financial Statements'!H49/'Financial Statements'!$H$72</f>
        <v>3.9908304678545378E-2</v>
      </c>
      <c r="I48" s="72">
        <f>'Financial Statements'!I49/'Financial Statements'!$I$72</f>
        <v>4.0351234525991805E-2</v>
      </c>
      <c r="J48" s="72">
        <f>'Financial Statements'!J49/'Financial Statements'!$J$72</f>
        <v>2.8968967024428149E-2</v>
      </c>
      <c r="K48" s="72">
        <f>'Financial Statements'!K49/'Financial Statements'!$K$72</f>
        <v>4.1063169425511199E-2</v>
      </c>
      <c r="L48" s="83">
        <f>'Financial Statements'!L49/'Financial Statements'!$L$72</f>
        <v>0.18410727076728253</v>
      </c>
      <c r="M48" s="83">
        <f>'Financial Statements'!M49/'Financial Statements'!$M$72</f>
        <v>0.12958037014906595</v>
      </c>
      <c r="N48" s="83">
        <f>'Financial Statements'!N49/'Financial Statements'!$N$72</f>
        <v>0.16556752262467481</v>
      </c>
      <c r="O48" s="83">
        <f>'Financial Statements'!O49/'Financial Statements'!$O$72</f>
        <v>0.2130692225963173</v>
      </c>
      <c r="P48" s="83">
        <f>'Financial Statements'!P49/'Financial Statements'!$P$72</f>
        <v>0.13541061746057251</v>
      </c>
    </row>
    <row r="49" spans="1:16" ht="16.8" thickTop="1" thickBot="1" x14ac:dyDescent="0.35">
      <c r="A49" t="s">
        <v>89</v>
      </c>
      <c r="B49" s="72">
        <f>'Financial Statements'!B50/'Financial Statements'!$B$72</f>
        <v>1.8330787390640188E-2</v>
      </c>
      <c r="C49" s="72">
        <f>'Financial Statements'!C50/'Financial Statements'!$C$72</f>
        <v>1.4382632293080054E-2</v>
      </c>
      <c r="D49" s="72">
        <f>'Financial Statements'!D50/'Financial Statements'!$D$72</f>
        <v>1.8087592724316634E-2</v>
      </c>
      <c r="E49" s="72">
        <f>'Financial Statements'!E50/'Financial Statements'!$E$72</f>
        <v>1.9927052753313763E-2</v>
      </c>
      <c r="F49" s="72">
        <f>'Financial Statements'!F50/'Financial Statements'!$F$72</f>
        <v>1.504664459825459E-2</v>
      </c>
      <c r="G49" s="72">
        <f>'Financial Statements'!G50/'Financial Statements'!$G$72</f>
        <v>1.2879006641640196E-2</v>
      </c>
      <c r="H49" s="72">
        <f>'Financial Statements'!H50/'Financial Statements'!$H$72</f>
        <v>1.031572366364489E-2</v>
      </c>
      <c r="I49" s="72">
        <f>'Financial Statements'!I50/'Financial Statements'!$I$72</f>
        <v>9.2561160522325568E-3</v>
      </c>
      <c r="J49" s="72">
        <f>'Financial Statements'!J50/'Financial Statements'!$J$72</f>
        <v>1.2869700354523821E-2</v>
      </c>
      <c r="K49" s="72">
        <f>'Financial Statements'!K50/'Financial Statements'!$K$72</f>
        <v>1.0269595910418695E-2</v>
      </c>
      <c r="L49" s="83">
        <f>'Financial Statements'!L50/'Financial Statements'!$L$72</f>
        <v>0.23013408845910313</v>
      </c>
      <c r="M49" s="83">
        <f>'Financial Statements'!M50/'Financial Statements'!$M$72</f>
        <v>0.17277382686542128</v>
      </c>
      <c r="N49" s="83">
        <f>'Financial Statements'!N50/'Financial Statements'!$N$72</f>
        <v>0.16556752262467481</v>
      </c>
      <c r="O49" s="83">
        <f>'Financial Statements'!O50/'Financial Statements'!$O$72</f>
        <v>0.1420461483975449</v>
      </c>
      <c r="P49" s="83">
        <f>'Financial Statements'!P50/'Financial Statements'!$P$72</f>
        <v>0.18054748994743003</v>
      </c>
    </row>
    <row r="50" spans="1:16" ht="16.8" thickTop="1" thickBot="1" x14ac:dyDescent="0.35">
      <c r="A50" t="s">
        <v>90</v>
      </c>
      <c r="B50" s="72">
        <f>'Financial Statements'!B51/'Financial Statements'!$B$72</f>
        <v>0</v>
      </c>
      <c r="C50" s="72">
        <f>'Financial Statements'!C51/'Financial Statements'!$C$72</f>
        <v>0.19172320217096336</v>
      </c>
      <c r="D50" s="72">
        <f>'Financial Statements'!D51/'Financial Statements'!$D$72</f>
        <v>8.0886088812112594E-2</v>
      </c>
      <c r="E50" s="72">
        <f>'Financial Statements'!E51/'Financial Statements'!$E$72</f>
        <v>1.3344008540165466E-3</v>
      </c>
      <c r="F50" s="72">
        <f>'Financial Statements'!F51/'Financial Statements'!$F$72</f>
        <v>0</v>
      </c>
      <c r="G50" s="72">
        <f>'Financial Statements'!G51/'Financial Statements'!$G$72</f>
        <v>0</v>
      </c>
      <c r="H50" s="72">
        <f>'Financial Statements'!H51/'Financial Statements'!$H$72</f>
        <v>3.4698343232260079E-2</v>
      </c>
      <c r="I50" s="72">
        <f>'Financial Statements'!I51/'Financial Statements'!$I$72</f>
        <v>0</v>
      </c>
      <c r="J50" s="72">
        <f>'Financial Statements'!J51/'Financial Statements'!$J$72</f>
        <v>3.0353066873876938E-2</v>
      </c>
      <c r="K50" s="72">
        <f>'Financial Statements'!K51/'Financial Statements'!$K$72</f>
        <v>1.9017770204479065E-2</v>
      </c>
      <c r="L50" s="83">
        <f>'Financial Statements'!L51/'Financial Statements'!$L$72</f>
        <v>1.7170546575136548E-4</v>
      </c>
      <c r="M50" s="83">
        <f>'Financial Statements'!M51/'Financial Statements'!$M$72</f>
        <v>8.4070676616536657E-5</v>
      </c>
      <c r="N50" s="83">
        <f>'Financial Statements'!N51/'Financial Statements'!$N$72</f>
        <v>6.7136777916128719E-5</v>
      </c>
      <c r="O50" s="83">
        <f>'Financial Statements'!O51/'Financial Statements'!$O$72</f>
        <v>4.6079185422980718E-5</v>
      </c>
      <c r="P50" s="83">
        <f>'Financial Statements'!P51/'Financial Statements'!$P$72</f>
        <v>4.5052970789885201E-5</v>
      </c>
    </row>
    <row r="51" spans="1:16" ht="16.8" thickTop="1" thickBot="1" x14ac:dyDescent="0.35">
      <c r="A51" t="s">
        <v>91</v>
      </c>
      <c r="B51" s="72">
        <f>'Financial Statements'!B52/'Financial Statements'!$B$72</f>
        <v>0</v>
      </c>
      <c r="C51" s="72">
        <f>'Financial Statements'!C52/'Financial Statements'!$C$72</f>
        <v>5.4274084124830398E-4</v>
      </c>
      <c r="D51" s="72">
        <f>'Financial Statements'!D52/'Financial Statements'!$D$72</f>
        <v>4.06462757849812E-4</v>
      </c>
      <c r="E51" s="72">
        <f>'Financial Statements'!E52/'Financial Statements'!$E$72</f>
        <v>0</v>
      </c>
      <c r="F51" s="72">
        <f>'Financial Statements'!F52/'Financial Statements'!$F$72</f>
        <v>0</v>
      </c>
      <c r="G51" s="72">
        <f>'Financial Statements'!G52/'Financial Statements'!$G$72</f>
        <v>5.2555587640773895E-3</v>
      </c>
      <c r="H51" s="72">
        <f>'Financial Statements'!H52/'Financial Statements'!$H$72</f>
        <v>0</v>
      </c>
      <c r="I51" s="72">
        <f>'Financial Statements'!I52/'Financial Statements'!$I$72</f>
        <v>3.2588770452848122E-3</v>
      </c>
      <c r="J51" s="72">
        <f>'Financial Statements'!J52/'Financial Statements'!$J$72</f>
        <v>4.2737118158418727E-3</v>
      </c>
      <c r="K51" s="72">
        <f>'Financial Statements'!K52/'Financial Statements'!$K$72</f>
        <v>3.4688412852969816E-3</v>
      </c>
      <c r="L51" s="83">
        <f>'Financial Statements'!L52/'Financial Statements'!$L$72</f>
        <v>3.1319076953049059E-5</v>
      </c>
      <c r="M51" s="83">
        <f>'Financial Statements'!M52/'Financial Statements'!$M$72</f>
        <v>1.5334491414856286E-5</v>
      </c>
      <c r="N51" s="83">
        <f>'Financial Statements'!N52/'Financial Statements'!$N$72</f>
        <v>1.2245748291901877E-5</v>
      </c>
      <c r="O51" s="83">
        <f>'Financial Statements'!O52/'Financial Statements'!$O$72</f>
        <v>8.4048434211516835E-6</v>
      </c>
      <c r="P51" s="83">
        <f>'Financial Statements'!P52/'Financial Statements'!$P$72</f>
        <v>8.2176618720750605E-6</v>
      </c>
    </row>
    <row r="52" spans="1:16" ht="16.8" thickTop="1" thickBot="1" x14ac:dyDescent="0.35">
      <c r="A52" t="s">
        <v>92</v>
      </c>
      <c r="B52" s="72">
        <f>'Financial Statements'!B53/'Financial Statements'!$B$72</f>
        <v>4.1660880433273156E-4</v>
      </c>
      <c r="C52" s="72">
        <f>'Financial Statements'!C53/'Financial Statements'!$C$72</f>
        <v>2.7137042062415199E-4</v>
      </c>
      <c r="D52" s="72">
        <f>'Financial Statements'!D53/'Financial Statements'!$D$72</f>
        <v>4.06462757849812E-4</v>
      </c>
      <c r="E52" s="72">
        <f>'Financial Statements'!E53/'Financial Statements'!$E$72</f>
        <v>2.9356818788364024E-3</v>
      </c>
      <c r="F52" s="72">
        <f>'Financial Statements'!F53/'Financial Statements'!$F$72</f>
        <v>6.8462232922058379E-3</v>
      </c>
      <c r="G52" s="72">
        <f>'Financial Statements'!G53/'Financial Statements'!$G$72</f>
        <v>3.522956973722206E-3</v>
      </c>
      <c r="H52" s="72">
        <f>'Financial Statements'!H53/'Financial Statements'!$H$72</f>
        <v>0</v>
      </c>
      <c r="I52" s="72">
        <f>'Financial Statements'!I53/'Financial Statements'!$I$72</f>
        <v>2.9873039581777448E-3</v>
      </c>
      <c r="J52" s="72">
        <f>'Financial Statements'!J53/'Financial Statements'!$J$72</f>
        <v>1.1339905784080423E-2</v>
      </c>
      <c r="K52" s="72">
        <f>'Financial Statements'!K53/'Financial Statements'!$K$72</f>
        <v>4.5034079844206423E-3</v>
      </c>
      <c r="L52" s="83">
        <f>'Financial Statements'!L53/'Financial Statements'!$L$72</f>
        <v>4.0659854289923339E-5</v>
      </c>
      <c r="M52" s="83">
        <f>'Financial Statements'!M53/'Financial Statements'!$M$72</f>
        <v>1.9907936222795881E-5</v>
      </c>
      <c r="N52" s="83">
        <f>'Financial Statements'!N53/'Financial Statements'!$N$72</f>
        <v>1.5897989010539278E-5</v>
      </c>
      <c r="O52" s="83">
        <f>'Financial Statements'!O53/'Financial Statements'!$O$72</f>
        <v>1.0911551108161835E-5</v>
      </c>
      <c r="P52" s="83">
        <f>'Financial Statements'!P53/'Financial Statements'!$P$72</f>
        <v>1.0668543483044816E-5</v>
      </c>
    </row>
    <row r="53" spans="1:16" ht="16.8" thickTop="1" thickBot="1" x14ac:dyDescent="0.35">
      <c r="A53" t="s">
        <v>93</v>
      </c>
      <c r="B53" s="72">
        <f>'Financial Statements'!B54/'Financial Statements'!$B$72</f>
        <v>4.1105402027496178E-2</v>
      </c>
      <c r="C53" s="72">
        <f>'Financial Statements'!C54/'Financial Statements'!$C$72</f>
        <v>4.3690637720488465E-2</v>
      </c>
      <c r="D53" s="72">
        <f>'Financial Statements'!D54/'Financial Statements'!$D$72</f>
        <v>8.6373336043085048E-3</v>
      </c>
      <c r="E53" s="72">
        <f>'Financial Statements'!E54/'Financial Statements'!$E$72</f>
        <v>4.7148830175251311E-3</v>
      </c>
      <c r="F53" s="72">
        <f>'Financial Statements'!F54/'Financial Statements'!$F$72</f>
        <v>6.921456515197111E-3</v>
      </c>
      <c r="G53" s="72">
        <f>'Financial Statements'!G54/'Financial Statements'!$G$72</f>
        <v>8.143228414669362E-3</v>
      </c>
      <c r="H53" s="72">
        <f>'Financial Statements'!H54/'Financial Statements'!$H$72</f>
        <v>1.0003125976867771E-2</v>
      </c>
      <c r="I53" s="72">
        <f>'Financial Statements'!I54/'Financial Statements'!$I$72</f>
        <v>6.7893271776766923E-3</v>
      </c>
      <c r="J53" s="72">
        <f>'Financial Statements'!J54/'Financial Statements'!$J$72</f>
        <v>8.5959885386819486E-3</v>
      </c>
      <c r="K53" s="72">
        <f>'Financial Statements'!K54/'Financial Statements'!$K$72</f>
        <v>1.1623661148977605E-2</v>
      </c>
      <c r="L53" s="83">
        <f>'Financial Statements'!L54/'Financial Statements'!$L$72</f>
        <v>0.46026817691820626</v>
      </c>
      <c r="M53" s="83">
        <f>'Financial Statements'!M54/'Financial Statements'!$M$72</f>
        <v>0.51832148059626382</v>
      </c>
      <c r="N53" s="83">
        <f>'Financial Statements'!N54/'Financial Statements'!$N$72</f>
        <v>0.49670256787402439</v>
      </c>
      <c r="O53" s="83">
        <f>'Financial Statements'!O54/'Financial Statements'!$O$72</f>
        <v>0.42613844519263461</v>
      </c>
      <c r="P53" s="83">
        <f>'Financial Statements'!P54/'Financial Statements'!$P$72</f>
        <v>0.54164246984229003</v>
      </c>
    </row>
    <row r="54" spans="1:16" ht="16.8" thickTop="1" thickBot="1" x14ac:dyDescent="0.35">
      <c r="A54" t="s">
        <v>94</v>
      </c>
      <c r="B54" s="72">
        <f>'Financial Statements'!B55/'Financial Statements'!$B$72</f>
        <v>2.3885571448409942E-2</v>
      </c>
      <c r="C54" s="72">
        <f>'Financial Statements'!C55/'Financial Statements'!$C$72</f>
        <v>2.8222523744911805E-2</v>
      </c>
      <c r="D54" s="72">
        <f>'Financial Statements'!D55/'Financial Statements'!$D$72</f>
        <v>2.3981302713138909E-2</v>
      </c>
      <c r="E54" s="72">
        <f>'Financial Statements'!E55/'Financial Statements'!$E$72</f>
        <v>2.0638733208789253E-2</v>
      </c>
      <c r="F54" s="72">
        <f>'Financial Statements'!F55/'Financial Statements'!$F$72</f>
        <v>3.2726452001203735E-2</v>
      </c>
      <c r="G54" s="72">
        <f>'Financial Statements'!G55/'Financial Statements'!$G$72</f>
        <v>3.3554721339878718E-2</v>
      </c>
      <c r="H54" s="72">
        <f>'Financial Statements'!H55/'Financial Statements'!$H$72</f>
        <v>4.1401826959813828E-2</v>
      </c>
      <c r="I54" s="72">
        <f>'Financial Statements'!I55/'Financial Statements'!$I$72</f>
        <v>3.5462918958064589E-2</v>
      </c>
      <c r="J54" s="72">
        <f>'Financial Statements'!J55/'Financial Statements'!$J$72</f>
        <v>6.2964401923170321E-2</v>
      </c>
      <c r="K54" s="72">
        <f>'Financial Statements'!K55/'Financial Statements'!$K$72</f>
        <v>7.1795886075949361E-2</v>
      </c>
      <c r="L54" s="83">
        <f>'Financial Statements'!L55/'Financial Statements'!$L$72</f>
        <v>0.11506704422955157</v>
      </c>
      <c r="M54" s="83">
        <f>'Financial Statements'!M55/'Financial Statements'!$M$72</f>
        <v>0.17277382686542128</v>
      </c>
      <c r="N54" s="83">
        <f>'Financial Statements'!N55/'Financial Statements'!$N$72</f>
        <v>0.16556752262467481</v>
      </c>
      <c r="O54" s="83">
        <f>'Financial Statements'!O55/'Financial Statements'!$O$72</f>
        <v>0.2130692225963173</v>
      </c>
      <c r="P54" s="83">
        <f>'Financial Statements'!P55/'Financial Statements'!$P$72</f>
        <v>0.13541061746057251</v>
      </c>
    </row>
    <row r="55" spans="1:16" ht="16.8" thickTop="1" thickBot="1" x14ac:dyDescent="0.35">
      <c r="A55" t="s">
        <v>27</v>
      </c>
      <c r="B55" s="70">
        <f>'Financial Statements'!B56/'Financial Statements'!$B$72</f>
        <v>0.1244271628940425</v>
      </c>
      <c r="C55" s="70">
        <f>'Financial Statements'!C56/'Financial Statements'!$C$72</f>
        <v>0.31899592944369065</v>
      </c>
      <c r="D55" s="70">
        <f>'Financial Statements'!D56/'Financial Statements'!$D$72</f>
        <v>0.18168885275886598</v>
      </c>
      <c r="E55" s="70">
        <f>'Financial Statements'!E56/'Financial Statements'!$E$72</f>
        <v>0.10257094564540521</v>
      </c>
      <c r="F55" s="70">
        <f>'Financial Statements'!F56/'Financial Statements'!$F$72</f>
        <v>9.9984953355401751E-2</v>
      </c>
      <c r="G55" s="70">
        <f>'Financial Statements'!G56/'Financial Statements'!$G$72</f>
        <v>0.10303205313312157</v>
      </c>
      <c r="H55" s="70">
        <f>'Financial Statements'!H56/'Financial Statements'!$H$72</f>
        <v>0.13632732451113194</v>
      </c>
      <c r="I55" s="70">
        <f>'Financial Statements'!I56/'Financial Statements'!$I$72</f>
        <v>9.8105777717428205E-2</v>
      </c>
      <c r="J55" s="70">
        <f>'Financial Statements'!J56/'Financial Statements'!$J$72</f>
        <v>0.15936574231460346</v>
      </c>
      <c r="K55" s="70">
        <f>'Financial Statements'!K56/'Financial Statements'!$K$72</f>
        <v>0.16174233203505356</v>
      </c>
      <c r="L55" s="83">
        <f>'Financial Statements'!L56/'Financial Statements'!$L$72</f>
        <v>0.98982026477113783</v>
      </c>
      <c r="M55" s="83">
        <f>'Financial Statements'!M56/'Financial Statements'!$M$72</f>
        <v>0.9935688175804267</v>
      </c>
      <c r="N55" s="83">
        <f>'Financial Statements'!N56/'Financial Statements'!$N$72</f>
        <v>0.99350041626326735</v>
      </c>
      <c r="O55" s="83">
        <f>'Financial Statements'!O56/'Financial Statements'!$O$72</f>
        <v>0.99438843436276636</v>
      </c>
      <c r="P55" s="83">
        <f>'Financial Statements'!P56/'Financial Statements'!$P$72</f>
        <v>0.99307513388700996</v>
      </c>
    </row>
    <row r="56" spans="1:16" ht="16.8" thickTop="1" thickBot="1" x14ac:dyDescent="0.35">
      <c r="B56" s="72">
        <f>'Financial Statements'!B57/'Financial Statements'!$B$72</f>
        <v>0</v>
      </c>
      <c r="C56" s="72">
        <f>'Financial Statements'!C57/'Financial Statements'!$C$72</f>
        <v>0</v>
      </c>
      <c r="D56" s="72">
        <f>'Financial Statements'!D57/'Financial Statements'!$D$72</f>
        <v>0</v>
      </c>
      <c r="E56" s="72">
        <f>'Financial Statements'!E57/'Financial Statements'!$E$72</f>
        <v>0</v>
      </c>
      <c r="F56" s="72">
        <f>'Financial Statements'!F57/'Financial Statements'!$F$72</f>
        <v>0</v>
      </c>
      <c r="G56" s="72">
        <f>'Financial Statements'!G57/'Financial Statements'!$G$72</f>
        <v>0</v>
      </c>
      <c r="H56" s="72">
        <f>'Financial Statements'!H57/'Financial Statements'!$H$72</f>
        <v>0</v>
      </c>
      <c r="I56" s="72">
        <f>'Financial Statements'!I57/'Financial Statements'!$I$72</f>
        <v>0</v>
      </c>
      <c r="J56" s="72">
        <f>'Financial Statements'!J57/'Financial Statements'!$J$72</f>
        <v>0</v>
      </c>
      <c r="K56" s="72">
        <f>'Financial Statements'!K57/'Financial Statements'!$K$72</f>
        <v>0</v>
      </c>
      <c r="L56" s="83">
        <f>'Financial Statements'!L57/'Financial Statements'!$L$72</f>
        <v>0</v>
      </c>
      <c r="M56" s="83">
        <f>'Financial Statements'!M57/'Financial Statements'!$M$72</f>
        <v>0</v>
      </c>
      <c r="N56" s="83">
        <f>'Financial Statements'!N57/'Financial Statements'!$N$72</f>
        <v>0</v>
      </c>
      <c r="O56" s="83">
        <f>'Financial Statements'!O57/'Financial Statements'!$O$72</f>
        <v>0</v>
      </c>
      <c r="P56" s="83">
        <f>'Financial Statements'!P57/'Financial Statements'!$P$72</f>
        <v>0</v>
      </c>
    </row>
    <row r="57" spans="1:16" ht="16.8" thickTop="1" thickBot="1" x14ac:dyDescent="0.35">
      <c r="A57" t="s">
        <v>58</v>
      </c>
      <c r="B57" s="72">
        <f>'Financial Statements'!B58/'Financial Statements'!$B$72</f>
        <v>0</v>
      </c>
      <c r="C57" s="72">
        <f>'Financial Statements'!C58/'Financial Statements'!$C$72</f>
        <v>0</v>
      </c>
      <c r="D57" s="72">
        <f>'Financial Statements'!D58/'Financial Statements'!$D$72</f>
        <v>0</v>
      </c>
      <c r="E57" s="72">
        <f>'Financial Statements'!E58/'Financial Statements'!$E$72</f>
        <v>0</v>
      </c>
      <c r="F57" s="72">
        <f>'Financial Statements'!F58/'Financial Statements'!$F$72</f>
        <v>0</v>
      </c>
      <c r="G57" s="72">
        <f>'Financial Statements'!G58/'Financial Statements'!$G$72</f>
        <v>0</v>
      </c>
      <c r="H57" s="72">
        <f>'Financial Statements'!H58/'Financial Statements'!$H$72</f>
        <v>0</v>
      </c>
      <c r="I57" s="72">
        <f>'Financial Statements'!I58/'Financial Statements'!$I$72</f>
        <v>0</v>
      </c>
      <c r="J57" s="72">
        <f>'Financial Statements'!J58/'Financial Statements'!$J$72</f>
        <v>0</v>
      </c>
      <c r="K57" s="72">
        <f>'Financial Statements'!K58/'Financial Statements'!$K$72</f>
        <v>0</v>
      </c>
      <c r="L57" s="83">
        <f>'Financial Statements'!L58/'Financial Statements'!$L$72</f>
        <v>0</v>
      </c>
      <c r="M57" s="83">
        <f>'Financial Statements'!M58/'Financial Statements'!$M$72</f>
        <v>0</v>
      </c>
      <c r="N57" s="83">
        <f>'Financial Statements'!N58/'Financial Statements'!$N$72</f>
        <v>0</v>
      </c>
      <c r="O57" s="83">
        <f>'Financial Statements'!O58/'Financial Statements'!$O$72</f>
        <v>0</v>
      </c>
      <c r="P57" s="83">
        <f>'Financial Statements'!P58/'Financial Statements'!$P$72</f>
        <v>0</v>
      </c>
    </row>
    <row r="58" spans="1:16" ht="16.8" thickTop="1" thickBot="1" x14ac:dyDescent="0.35">
      <c r="B58" s="72">
        <f>'Financial Statements'!B59/'Financial Statements'!$B$72</f>
        <v>0</v>
      </c>
      <c r="C58" s="72">
        <f>'Financial Statements'!C59/'Financial Statements'!$C$72</f>
        <v>0</v>
      </c>
      <c r="D58" s="72">
        <f>'Financial Statements'!D59/'Financial Statements'!$D$72</f>
        <v>0</v>
      </c>
      <c r="E58" s="72">
        <f>'Financial Statements'!E59/'Financial Statements'!$E$72</f>
        <v>0</v>
      </c>
      <c r="F58" s="72">
        <f>'Financial Statements'!F59/'Financial Statements'!$F$72</f>
        <v>0</v>
      </c>
      <c r="G58" s="72">
        <f>'Financial Statements'!G59/'Financial Statements'!$G$72</f>
        <v>0</v>
      </c>
      <c r="H58" s="72">
        <f>'Financial Statements'!H59/'Financial Statements'!$H$72</f>
        <v>0</v>
      </c>
      <c r="I58" s="72">
        <f>'Financial Statements'!I59/'Financial Statements'!$I$72</f>
        <v>0</v>
      </c>
      <c r="J58" s="72">
        <f>'Financial Statements'!J59/'Financial Statements'!$J$72</f>
        <v>0</v>
      </c>
      <c r="K58" s="72">
        <f>'Financial Statements'!K59/'Financial Statements'!$K$72</f>
        <v>0</v>
      </c>
      <c r="L58" s="83">
        <f>'Financial Statements'!L59/'Financial Statements'!$L$72</f>
        <v>0</v>
      </c>
      <c r="M58" s="83">
        <f>'Financial Statements'!M59/'Financial Statements'!$M$72</f>
        <v>0</v>
      </c>
      <c r="N58" s="83">
        <f>'Financial Statements'!N59/'Financial Statements'!$N$72</f>
        <v>0</v>
      </c>
      <c r="O58" s="83">
        <f>'Financial Statements'!O59/'Financial Statements'!$O$72</f>
        <v>0</v>
      </c>
      <c r="P58" s="83">
        <f>'Financial Statements'!P59/'Financial Statements'!$P$72</f>
        <v>0</v>
      </c>
    </row>
    <row r="59" spans="1:16" ht="16.8" thickTop="1" thickBot="1" x14ac:dyDescent="0.35">
      <c r="A59" t="s">
        <v>28</v>
      </c>
      <c r="B59" s="72">
        <f>'Financial Statements'!B60/'Financial Statements'!$B$72</f>
        <v>0.1921955283988335</v>
      </c>
      <c r="C59" s="72">
        <f>'Financial Statements'!C60/'Financial Statements'!$C$72</f>
        <v>9.4979647218453186E-4</v>
      </c>
      <c r="D59" s="72">
        <f>'Financial Statements'!D60/'Financial Statements'!$D$72</f>
        <v>0.20150391220404432</v>
      </c>
      <c r="E59" s="72">
        <f>'Financial Statements'!E60/'Financial Statements'!$E$72</f>
        <v>0.17658571301485632</v>
      </c>
      <c r="F59" s="72">
        <f>'Financial Statements'!F60/'Financial Statements'!$F$72</f>
        <v>0.14956364730665062</v>
      </c>
      <c r="G59" s="72">
        <f>'Financial Statements'!G60/'Financial Statements'!$G$72</f>
        <v>0.11498700548657234</v>
      </c>
      <c r="H59" s="72">
        <f>'Financial Statements'!H60/'Financial Statements'!$H$72</f>
        <v>0.20714806710430342</v>
      </c>
      <c r="I59" s="72">
        <f>'Financial Statements'!I60/'Financial Statements'!$I$72</f>
        <v>0.24771991762283024</v>
      </c>
      <c r="J59" s="72">
        <f>'Financial Statements'!J60/'Financial Statements'!$J$72</f>
        <v>0.23561264630178233</v>
      </c>
      <c r="K59" s="72">
        <f>'Financial Statements'!K60/'Financial Statements'!$K$72</f>
        <v>0.12869705452775074</v>
      </c>
      <c r="L59" s="83">
        <f>'Financial Statements'!L60/'Financial Statements'!$L$72</f>
        <v>1.1619652278326404E-3</v>
      </c>
      <c r="M59" s="83">
        <f>'Financial Statements'!M60/'Financial Statements'!$M$72</f>
        <v>5.6892308279942686E-4</v>
      </c>
      <c r="N59" s="83">
        <f>'Financial Statements'!N60/'Financial Statements'!$N$72</f>
        <v>4.5432800351402625E-4</v>
      </c>
      <c r="O59" s="83">
        <f>'Financial Statements'!O60/'Financial Statements'!$O$72</f>
        <v>3.1182706359439514E-4</v>
      </c>
      <c r="P59" s="83">
        <f>'Financial Statements'!P60/'Financial Statements'!$P$72</f>
        <v>3.0488246392931112E-4</v>
      </c>
    </row>
    <row r="60" spans="1:16" ht="16.8" thickTop="1" thickBot="1" x14ac:dyDescent="0.35">
      <c r="A60" t="s">
        <v>95</v>
      </c>
      <c r="B60" s="72">
        <f>'Financial Statements'!B61/'Financial Statements'!$B$72</f>
        <v>1.4997916955978336E-2</v>
      </c>
      <c r="C60" s="72">
        <f>'Financial Statements'!C61/'Financial Statements'!$C$72</f>
        <v>5.9701492537313433E-3</v>
      </c>
      <c r="D60" s="72">
        <f>'Financial Statements'!D61/'Financial Statements'!$D$72</f>
        <v>4.06462757849812E-4</v>
      </c>
      <c r="E60" s="72">
        <f>'Financial Statements'!E61/'Financial Statements'!$E$72</f>
        <v>1.3344008540165466E-3</v>
      </c>
      <c r="F60" s="72">
        <f>'Financial Statements'!F61/'Financial Statements'!$F$72</f>
        <v>3.4607282575985555E-3</v>
      </c>
      <c r="G60" s="72">
        <f>'Financial Statements'!G61/'Financial Statements'!$G$72</f>
        <v>3.4652035807103665E-3</v>
      </c>
      <c r="H60" s="72">
        <f>'Financial Statements'!H61/'Financial Statements'!$H$72</f>
        <v>5.66149143829669E-3</v>
      </c>
      <c r="I60" s="72">
        <f>'Financial Statements'!I61/'Financial Statements'!$I$72</f>
        <v>4.5714802996356394E-3</v>
      </c>
      <c r="J60" s="72">
        <f>'Financial Statements'!J61/'Financial Statements'!$J$72</f>
        <v>5.2935748628041377E-3</v>
      </c>
      <c r="K60" s="72">
        <f>'Financial Statements'!K61/'Financial Statements'!$K$72</f>
        <v>8.7177458617332029E-3</v>
      </c>
      <c r="L60" s="83">
        <f>'Financial Statements'!L61/'Financial Statements'!$L$72</f>
        <v>7.8709785500425929E-5</v>
      </c>
      <c r="M60" s="83">
        <f>'Financial Statements'!M61/'Financial Statements'!$M$72</f>
        <v>3.8537998161020405E-5</v>
      </c>
      <c r="N60" s="83">
        <f>'Financial Statements'!N61/'Financial Statements'!$N$72</f>
        <v>3.0775498996753405E-5</v>
      </c>
      <c r="O60" s="83">
        <f>'Financial Statements'!O61/'Financial Statements'!$O$72</f>
        <v>2.1122698597894362E-5</v>
      </c>
      <c r="P60" s="83">
        <f>'Financial Statements'!P61/'Financial Statements'!$P$72</f>
        <v>2.0652281810083378E-5</v>
      </c>
    </row>
    <row r="61" spans="1:16" ht="16.8" thickTop="1" thickBot="1" x14ac:dyDescent="0.35">
      <c r="A61" t="s">
        <v>96</v>
      </c>
      <c r="B61" s="72">
        <f>'Financial Statements'!B62/'Financial Statements'!$B$72</f>
        <v>0</v>
      </c>
      <c r="C61" s="72">
        <f>'Financial Statements'!C62/'Financial Statements'!$C$72</f>
        <v>0</v>
      </c>
      <c r="D61" s="72">
        <f>'Financial Statements'!D62/'Financial Statements'!$D$72</f>
        <v>1.0161568946245301E-3</v>
      </c>
      <c r="E61" s="72">
        <f>'Financial Statements'!E62/'Financial Statements'!$E$72</f>
        <v>1.0675206832132373E-3</v>
      </c>
      <c r="F61" s="72">
        <f>'Financial Statements'!F62/'Financial Statements'!$F$72</f>
        <v>1.5046644598254589E-3</v>
      </c>
      <c r="G61" s="72">
        <f>'Financial Statements'!G62/'Financial Statements'!$G$72</f>
        <v>1.2705746462604679E-3</v>
      </c>
      <c r="H61" s="72">
        <f>'Financial Statements'!H62/'Financial Statements'!$H$72</f>
        <v>0</v>
      </c>
      <c r="I61" s="72">
        <f>'Financial Statements'!I62/'Financial Statements'!$I$72</f>
        <v>0</v>
      </c>
      <c r="J61" s="72">
        <f>'Financial Statements'!J62/'Financial Statements'!$J$72</f>
        <v>0</v>
      </c>
      <c r="K61" s="72">
        <f>'Financial Statements'!K62/'Financial Statements'!$K$72</f>
        <v>0</v>
      </c>
      <c r="L61" s="83">
        <f>'Financial Statements'!L62/'Financial Statements'!$L$72</f>
        <v>0</v>
      </c>
      <c r="M61" s="83">
        <f>'Financial Statements'!M62/'Financial Statements'!$M$72</f>
        <v>0</v>
      </c>
      <c r="N61" s="83">
        <f>'Financial Statements'!N62/'Financial Statements'!$N$72</f>
        <v>0</v>
      </c>
      <c r="O61" s="83">
        <f>'Financial Statements'!O62/'Financial Statements'!$O$72</f>
        <v>0</v>
      </c>
      <c r="P61" s="83">
        <f>'Financial Statements'!P62/'Financial Statements'!$P$72</f>
        <v>0</v>
      </c>
    </row>
    <row r="62" spans="1:16" ht="16.8" thickTop="1" thickBot="1" x14ac:dyDescent="0.35">
      <c r="A62" t="s">
        <v>97</v>
      </c>
      <c r="B62" s="72">
        <f>'Financial Statements'!B63/'Financial Statements'!$B$72</f>
        <v>3.2217747535064574E-2</v>
      </c>
      <c r="C62" s="72">
        <f>'Financial Statements'!C63/'Financial Statements'!$C$72</f>
        <v>4.0841248303934874E-2</v>
      </c>
      <c r="D62" s="72">
        <f>'Financial Statements'!D63/'Financial Statements'!$D$72</f>
        <v>1.4327812214205874E-2</v>
      </c>
      <c r="E62" s="72">
        <f>'Financial Statements'!E63/'Financial Statements'!$E$72</f>
        <v>1.6012810248198558E-3</v>
      </c>
      <c r="F62" s="72">
        <f>'Financial Statements'!F63/'Financial Statements'!$F$72</f>
        <v>1.429431236834186E-3</v>
      </c>
      <c r="G62" s="72">
        <f>'Financial Statements'!G63/'Financial Statements'!$G$72</f>
        <v>1.6748483973433438E-3</v>
      </c>
      <c r="H62" s="72">
        <f>'Financial Statements'!H63/'Financial Statements'!$H$72</f>
        <v>8.3706713903650438E-3</v>
      </c>
      <c r="I62" s="72">
        <f>'Financial Statements'!I63/'Financial Statements'!$I$72</f>
        <v>5.5446171951026319E-3</v>
      </c>
      <c r="J62" s="72">
        <f>'Financial Statements'!J63/'Financial Statements'!$J$72</f>
        <v>5.9977660142780829E-3</v>
      </c>
      <c r="K62" s="72">
        <f>'Financial Statements'!K63/'Financial Statements'!$K$72</f>
        <v>7.0289678675754625E-3</v>
      </c>
      <c r="L62" s="83">
        <f>'Financial Statements'!L63/'Financial Statements'!$L$72</f>
        <v>6.3462340141704675E-5</v>
      </c>
      <c r="M62" s="83">
        <f>'Financial Statements'!M63/'Financial Statements'!$M$72</f>
        <v>3.1072522077471949E-5</v>
      </c>
      <c r="N62" s="83">
        <f>'Financial Statements'!N63/'Financial Statements'!$N$72</f>
        <v>2.4813753117801172E-5</v>
      </c>
      <c r="O62" s="83">
        <f>'Financial Statements'!O63/'Financial Statements'!$O$72</f>
        <v>1.7030866932333675E-5</v>
      </c>
      <c r="P62" s="83">
        <f>'Financial Statements'!P63/'Financial Statements'!$P$72</f>
        <v>1.6651578003941571E-5</v>
      </c>
    </row>
    <row r="63" spans="1:16" ht="16.8" thickTop="1" thickBot="1" x14ac:dyDescent="0.35">
      <c r="A63" t="s">
        <v>98</v>
      </c>
      <c r="B63" s="72">
        <f>'Financial Statements'!B64/'Financial Statements'!$B$72</f>
        <v>1.9441744202194141E-3</v>
      </c>
      <c r="C63" s="72">
        <f>'Financial Statements'!C64/'Financial Statements'!$C$72</f>
        <v>1.3568521031207597E-3</v>
      </c>
      <c r="D63" s="72">
        <f>'Financial Statements'!D64/'Financial Statements'!$D$72</f>
        <v>0</v>
      </c>
      <c r="E63" s="72">
        <f>'Financial Statements'!E64/'Financial Statements'!$E$72</f>
        <v>0</v>
      </c>
      <c r="F63" s="72">
        <f>'Financial Statements'!F64/'Financial Statements'!$F$72</f>
        <v>0</v>
      </c>
      <c r="G63" s="72">
        <f>'Financial Statements'!G64/'Financial Statements'!$G$72</f>
        <v>3.2399653479641931E-2</v>
      </c>
      <c r="H63" s="72">
        <f>'Financial Statements'!H64/'Financial Statements'!$H$72</f>
        <v>2.2020770379632525E-2</v>
      </c>
      <c r="I63" s="72">
        <f>'Financial Statements'!I64/'Financial Statements'!$I$72</f>
        <v>1.6769638128861428E-2</v>
      </c>
      <c r="J63" s="72">
        <f>'Financial Statements'!J64/'Financial Statements'!$J$72</f>
        <v>2.1902773056189598E-2</v>
      </c>
      <c r="K63" s="72">
        <f>'Financial Statements'!K64/'Financial Statements'!$K$72</f>
        <v>1.7024707887049659E-2</v>
      </c>
      <c r="L63" s="83">
        <f>'Financial Statements'!L64/'Financial Statements'!$L$72</f>
        <v>1.5371073294062236E-4</v>
      </c>
      <c r="M63" s="83">
        <f>'Financial Statements'!M64/'Financial Statements'!$M$72</f>
        <v>7.5260069707123613E-5</v>
      </c>
      <c r="N63" s="83">
        <f>'Financial Statements'!N64/'Financial Statements'!$N$72</f>
        <v>6.0100843590518421E-5</v>
      </c>
      <c r="O63" s="83">
        <f>'Financial Statements'!O64/'Financial Statements'!$O$72</f>
        <v>4.1250086790652342E-5</v>
      </c>
      <c r="P63" s="83">
        <f>'Financial Statements'!P64/'Financial Statements'!$P$72</f>
        <v>4.0331419451105235E-5</v>
      </c>
    </row>
    <row r="64" spans="1:16" ht="16.8" thickTop="1" thickBot="1" x14ac:dyDescent="0.35">
      <c r="A64" t="s">
        <v>29</v>
      </c>
      <c r="B64" s="72">
        <f>'Financial Statements'!B65/'Financial Statements'!$B$72</f>
        <v>2.0691570615192334E-2</v>
      </c>
      <c r="C64" s="72">
        <f>'Financial Statements'!C65/'Financial Statements'!$C$72</f>
        <v>2.5508819538670284E-2</v>
      </c>
      <c r="D64" s="72">
        <f>'Financial Statements'!D65/'Financial Statements'!$D$72</f>
        <v>1.5547200487755309E-2</v>
      </c>
      <c r="E64" s="72">
        <f>'Financial Statements'!E65/'Financial Statements'!$E$72</f>
        <v>5.2219553420514188E-2</v>
      </c>
      <c r="F64" s="72">
        <f>'Financial Statements'!F65/'Financial Statements'!$F$72</f>
        <v>4.1227806199217572E-2</v>
      </c>
      <c r="G64" s="72">
        <f>'Financial Statements'!G65/'Financial Statements'!$G$72</f>
        <v>3.8348252959861391E-2</v>
      </c>
      <c r="H64" s="72">
        <f>'Financial Statements'!H65/'Financial Statements'!$H$72</f>
        <v>3.3725817095620156E-2</v>
      </c>
      <c r="I64" s="72">
        <f>'Financial Statements'!I65/'Financial Statements'!$I$72</f>
        <v>2.5029986195034739E-2</v>
      </c>
      <c r="J64" s="72">
        <f>'Financial Statements'!J65/'Financial Statements'!$J$72</f>
        <v>3.5160992666699045E-2</v>
      </c>
      <c r="K64" s="72">
        <f>'Financial Statements'!K65/'Financial Statements'!$K$72</f>
        <v>2.2912609542356379E-2</v>
      </c>
      <c r="L64" s="83">
        <f>'Financial Statements'!L65/'Financial Statements'!$L$72</f>
        <v>2.0687074513724512E-4</v>
      </c>
      <c r="M64" s="83">
        <f>'Financial Statements'!M65/'Financial Statements'!$M$72</f>
        <v>1.0128835118760337E-4</v>
      </c>
      <c r="N64" s="83">
        <f>'Financial Statements'!N65/'Financial Statements'!$N$72</f>
        <v>8.0886390033351873E-5</v>
      </c>
      <c r="O64" s="83">
        <f>'Financial Statements'!O65/'Financial Statements'!$O$72</f>
        <v>5.551620259760717E-5</v>
      </c>
      <c r="P64" s="83">
        <f>'Financial Statements'!P65/'Financial Statements'!$P$72</f>
        <v>5.4279819207653692E-5</v>
      </c>
    </row>
    <row r="65" spans="1:16" ht="16.8" thickTop="1" thickBot="1" x14ac:dyDescent="0.35">
      <c r="A65" t="s">
        <v>99</v>
      </c>
      <c r="B65" s="70">
        <f>'Financial Statements'!B66/'Financial Statements'!$B$72</f>
        <v>0.26204693792528816</v>
      </c>
      <c r="C65" s="70">
        <f>'Financial Statements'!C66/'Financial Statements'!$C$72</f>
        <v>7.4626865671641784E-2</v>
      </c>
      <c r="D65" s="70">
        <f>'Financial Statements'!D66/'Financial Statements'!$D$72</f>
        <v>0.23280154455847982</v>
      </c>
      <c r="E65" s="70">
        <f>'Financial Statements'!E66/'Financial Statements'!$E$72</f>
        <v>0.23280846899742016</v>
      </c>
      <c r="F65" s="70">
        <f>'Financial Statements'!F66/'Financial Statements'!$F$72</f>
        <v>0.1971862774601264</v>
      </c>
      <c r="G65" s="70">
        <f>'Financial Statements'!G66/'Financial Statements'!$G$72</f>
        <v>0.19214553855038982</v>
      </c>
      <c r="H65" s="70">
        <f>'Financial Statements'!H66/'Financial Statements'!$H$72</f>
        <v>0.27692681740821784</v>
      </c>
      <c r="I65" s="70">
        <f>'Financial Statements'!I66/'Financial Statements'!$I$72</f>
        <v>0.29963563944146471</v>
      </c>
      <c r="J65" s="70">
        <f>'Financial Statements'!J66/'Financial Statements'!$J$72</f>
        <v>0.30396775290175321</v>
      </c>
      <c r="K65" s="70">
        <f>'Financial Statements'!K66/'Financial Statements'!$K$72</f>
        <v>0.18438108568646544</v>
      </c>
      <c r="L65" s="83">
        <f>'Financial Statements'!L66/'Financial Statements'!$L$72</f>
        <v>1.6647188315526385E-3</v>
      </c>
      <c r="M65" s="83">
        <f>'Financial Statements'!M66/'Financial Statements'!$M$72</f>
        <v>8.1508202393264619E-4</v>
      </c>
      <c r="N65" s="83">
        <f>'Financial Statements'!N66/'Financial Statements'!$N$72</f>
        <v>6.5090448925245105E-4</v>
      </c>
      <c r="O65" s="83">
        <f>'Financial Statements'!O66/'Financial Statements'!$O$72</f>
        <v>4.4674691851288265E-4</v>
      </c>
      <c r="P65" s="83">
        <f>'Financial Statements'!P66/'Financial Statements'!$P$72</f>
        <v>4.36797562402095E-4</v>
      </c>
    </row>
    <row r="66" spans="1:16" ht="16.8" thickTop="1" thickBot="1" x14ac:dyDescent="0.35">
      <c r="B66" s="72">
        <f>'Financial Statements'!B67/'Financial Statements'!$B$72</f>
        <v>0</v>
      </c>
      <c r="C66" s="72">
        <f>'Financial Statements'!C67/'Financial Statements'!$C$72</f>
        <v>0</v>
      </c>
      <c r="D66" s="72">
        <f>'Financial Statements'!D67/'Financial Statements'!$D$72</f>
        <v>0</v>
      </c>
      <c r="E66" s="72">
        <f>'Financial Statements'!E67/'Financial Statements'!$E$72</f>
        <v>0</v>
      </c>
      <c r="F66" s="72">
        <f>'Financial Statements'!F67/'Financial Statements'!$F$72</f>
        <v>0</v>
      </c>
      <c r="G66" s="72">
        <f>'Financial Statements'!G67/'Financial Statements'!$G$72</f>
        <v>0</v>
      </c>
      <c r="H66" s="72">
        <f>'Financial Statements'!H67/'Financial Statements'!$H$72</f>
        <v>0</v>
      </c>
      <c r="I66" s="72">
        <f>'Financial Statements'!I67/'Financial Statements'!$I$72</f>
        <v>0</v>
      </c>
      <c r="J66" s="72">
        <f>'Financial Statements'!J67/'Financial Statements'!$J$72</f>
        <v>0</v>
      </c>
      <c r="K66" s="72">
        <f>'Financial Statements'!K67/'Financial Statements'!$K$72</f>
        <v>0</v>
      </c>
      <c r="L66" s="83">
        <f>'Financial Statements'!L67/'Financial Statements'!$L$72</f>
        <v>0</v>
      </c>
      <c r="M66" s="83">
        <f>'Financial Statements'!M67/'Financial Statements'!$M$72</f>
        <v>0</v>
      </c>
      <c r="N66" s="83">
        <f>'Financial Statements'!N67/'Financial Statements'!$N$72</f>
        <v>0</v>
      </c>
      <c r="O66" s="83">
        <f>'Financial Statements'!O67/'Financial Statements'!$O$72</f>
        <v>0</v>
      </c>
      <c r="P66" s="83">
        <f>'Financial Statements'!P67/'Financial Statements'!$P$72</f>
        <v>0</v>
      </c>
    </row>
    <row r="67" spans="1:16" ht="16.8" thickTop="1" thickBot="1" x14ac:dyDescent="0.35">
      <c r="A67" t="s">
        <v>100</v>
      </c>
      <c r="B67" s="70">
        <f>'Financial Statements'!B68/'Financial Statements'!$B$72</f>
        <v>0.38647410081933065</v>
      </c>
      <c r="C67" s="70">
        <f>'Financial Statements'!C68/'Financial Statements'!$C$72</f>
        <v>0.39362279511533244</v>
      </c>
      <c r="D67" s="70">
        <f>'Financial Statements'!D68/'Financial Statements'!$D$72</f>
        <v>0.41449039731734577</v>
      </c>
      <c r="E67" s="70">
        <f>'Financial Statements'!E68/'Financial Statements'!$E$72</f>
        <v>0.33537941464282539</v>
      </c>
      <c r="F67" s="70">
        <f>'Financial Statements'!F68/'Financial Statements'!$F$72</f>
        <v>0.29717123081552815</v>
      </c>
      <c r="G67" s="70">
        <f>'Financial Statements'!G68/'Financial Statements'!$G$72</f>
        <v>0.29517759168351143</v>
      </c>
      <c r="H67" s="70">
        <f>'Financial Statements'!H68/'Financial Statements'!$H$72</f>
        <v>0.41325414191934978</v>
      </c>
      <c r="I67" s="70">
        <f>'Financial Statements'!I68/'Financial Statements'!$I$72</f>
        <v>0.39774141715889288</v>
      </c>
      <c r="J67" s="70">
        <f>'Financial Statements'!J68/'Financial Statements'!$J$72</f>
        <v>0.46333349521635664</v>
      </c>
      <c r="K67" s="70">
        <f>'Financial Statements'!K68/'Financial Statements'!$K$72</f>
        <v>0.346123417721519</v>
      </c>
      <c r="L67" s="83">
        <f>'Financial Statements'!L68/'Financial Statements'!$L$72</f>
        <v>0.99148498360269044</v>
      </c>
      <c r="M67" s="83">
        <f>'Financial Statements'!M68/'Financial Statements'!$M$72</f>
        <v>0.99438389960435936</v>
      </c>
      <c r="N67" s="83">
        <f>'Financial Statements'!N68/'Financial Statements'!$N$72</f>
        <v>0.99415132075251977</v>
      </c>
      <c r="O67" s="83">
        <f>'Financial Statements'!O68/'Financial Statements'!$O$72</f>
        <v>0.99483518128127923</v>
      </c>
      <c r="P67" s="83">
        <f>'Financial Statements'!P68/'Financial Statements'!$P$72</f>
        <v>0.99351193144941208</v>
      </c>
    </row>
    <row r="68" spans="1:16" ht="16.8" thickTop="1" thickBot="1" x14ac:dyDescent="0.35">
      <c r="B68" s="72">
        <f>'Financial Statements'!B69/'Financial Statements'!$B$72</f>
        <v>0</v>
      </c>
      <c r="C68" s="72">
        <f>'Financial Statements'!C69/'Financial Statements'!$C$72</f>
        <v>0</v>
      </c>
      <c r="D68" s="72">
        <f>'Financial Statements'!D69/'Financial Statements'!$D$72</f>
        <v>0</v>
      </c>
      <c r="E68" s="72">
        <f>'Financial Statements'!E69/'Financial Statements'!$E$72</f>
        <v>0</v>
      </c>
      <c r="F68" s="72">
        <f>'Financial Statements'!F69/'Financial Statements'!$F$72</f>
        <v>0</v>
      </c>
      <c r="G68" s="72">
        <f>'Financial Statements'!G69/'Financial Statements'!$G$72</f>
        <v>0</v>
      </c>
      <c r="H68" s="72">
        <f>'Financial Statements'!H69/'Financial Statements'!$H$72</f>
        <v>0</v>
      </c>
      <c r="I68" s="72">
        <f>'Financial Statements'!I69/'Financial Statements'!$I$72</f>
        <v>0</v>
      </c>
      <c r="J68" s="72">
        <f>'Financial Statements'!J69/'Financial Statements'!$J$72</f>
        <v>0</v>
      </c>
      <c r="K68" s="72">
        <f>'Financial Statements'!K69/'Financial Statements'!$K$72</f>
        <v>0</v>
      </c>
      <c r="L68" s="83">
        <f>'Financial Statements'!L69/'Financial Statements'!$L$72</f>
        <v>0</v>
      </c>
      <c r="M68" s="83">
        <f>'Financial Statements'!M69/'Financial Statements'!$M$72</f>
        <v>0</v>
      </c>
      <c r="N68" s="83">
        <f>'Financial Statements'!N69/'Financial Statements'!$N$72</f>
        <v>0</v>
      </c>
      <c r="O68" s="83">
        <f>'Financial Statements'!O69/'Financial Statements'!$O$72</f>
        <v>0</v>
      </c>
      <c r="P68" s="83">
        <f>'Financial Statements'!P69/'Financial Statements'!$P$72</f>
        <v>0</v>
      </c>
    </row>
    <row r="69" spans="1:16" ht="16.8" thickTop="1" thickBot="1" x14ac:dyDescent="0.35">
      <c r="A69" t="s">
        <v>101</v>
      </c>
      <c r="B69" s="72">
        <f>'Financial Statements'!B70/'Financial Statements'!$B$72</f>
        <v>0.61352589918066935</v>
      </c>
      <c r="C69" s="72">
        <f>'Financial Statements'!C70/'Financial Statements'!$C$72</f>
        <v>0.60637720488466762</v>
      </c>
      <c r="D69" s="72">
        <f>'Financial Statements'!D70/'Financial Statements'!$D$72</f>
        <v>0.58550960268265417</v>
      </c>
      <c r="E69" s="72">
        <f>'Financial Statements'!E70/'Financial Statements'!$E$72</f>
        <v>0.66462058535717461</v>
      </c>
      <c r="F69" s="72">
        <f>'Financial Statements'!F70/'Financial Statements'!$F$72</f>
        <v>0.7028287691844719</v>
      </c>
      <c r="G69" s="72">
        <f>'Financial Statements'!G70/'Financial Statements'!$G$72</f>
        <v>0.70482240831648857</v>
      </c>
      <c r="H69" s="72">
        <f>'Financial Statements'!H70/'Financial Statements'!$H$72</f>
        <v>0.58674585808065016</v>
      </c>
      <c r="I69" s="72">
        <f>'Financial Statements'!I70/'Financial Statements'!$I$72</f>
        <v>0.60225858284110712</v>
      </c>
      <c r="J69" s="72">
        <f>'Financial Statements'!J70/'Financial Statements'!$J$72</f>
        <v>0.53666650478364331</v>
      </c>
      <c r="K69" s="72">
        <f>'Financial Statements'!K70/'Financial Statements'!$K$72</f>
        <v>0.653876582278481</v>
      </c>
      <c r="L69" s="83">
        <f>'Financial Statements'!L70/'Financial Statements'!$L$72</f>
        <v>8.5150163973095414E-3</v>
      </c>
      <c r="M69" s="83">
        <f>'Financial Statements'!M70/'Financial Statements'!$M$72</f>
        <v>5.6161003956407057E-3</v>
      </c>
      <c r="N69" s="83">
        <f>'Financial Statements'!N70/'Financial Statements'!$N$72</f>
        <v>5.8486792474802323E-3</v>
      </c>
      <c r="O69" s="83">
        <f>'Financial Statements'!O70/'Financial Statements'!$O$72</f>
        <v>5.1648187187207763E-3</v>
      </c>
      <c r="P69" s="83">
        <f>'Financial Statements'!P70/'Financial Statements'!$P$72</f>
        <v>6.4880685505879767E-3</v>
      </c>
    </row>
    <row r="70" spans="1:16" ht="16.8" thickTop="1" thickBot="1" x14ac:dyDescent="0.35">
      <c r="B70" s="72">
        <f>'Financial Statements'!B71/'Financial Statements'!$B$72</f>
        <v>0</v>
      </c>
      <c r="C70" s="72">
        <f>'Financial Statements'!C71/'Financial Statements'!$C$72</f>
        <v>0</v>
      </c>
      <c r="D70" s="72">
        <f>'Financial Statements'!D71/'Financial Statements'!$D$72</f>
        <v>0</v>
      </c>
      <c r="E70" s="72">
        <f>'Financial Statements'!E71/'Financial Statements'!$E$72</f>
        <v>0</v>
      </c>
      <c r="F70" s="72">
        <f>'Financial Statements'!F71/'Financial Statements'!$F$72</f>
        <v>0</v>
      </c>
      <c r="G70" s="72">
        <f>'Financial Statements'!G71/'Financial Statements'!$G$72</f>
        <v>0</v>
      </c>
      <c r="H70" s="72">
        <f>'Financial Statements'!H71/'Financial Statements'!$H$72</f>
        <v>0</v>
      </c>
      <c r="I70" s="72">
        <f>'Financial Statements'!I71/'Financial Statements'!$I$72</f>
        <v>0</v>
      </c>
      <c r="J70" s="72">
        <f>'Financial Statements'!J71/'Financial Statements'!$J$72</f>
        <v>0</v>
      </c>
      <c r="K70" s="72">
        <f>'Financial Statements'!K71/'Financial Statements'!$K$72</f>
        <v>0</v>
      </c>
      <c r="L70" s="83">
        <f>'Financial Statements'!L71/'Financial Statements'!$L$72</f>
        <v>0</v>
      </c>
      <c r="M70" s="83">
        <f>'Financial Statements'!M71/'Financial Statements'!$M$72</f>
        <v>0</v>
      </c>
      <c r="N70" s="83">
        <f>'Financial Statements'!N71/'Financial Statements'!$N$72</f>
        <v>0</v>
      </c>
      <c r="O70" s="83">
        <f>'Financial Statements'!O71/'Financial Statements'!$O$72</f>
        <v>0</v>
      </c>
      <c r="P70" s="83">
        <f>'Financial Statements'!P71/'Financial Statements'!$P$72</f>
        <v>0</v>
      </c>
    </row>
    <row r="71" spans="1:16" ht="16.8" thickTop="1" thickBot="1" x14ac:dyDescent="0.35">
      <c r="A71" t="s">
        <v>102</v>
      </c>
      <c r="B71" s="71">
        <f>'Financial Statements'!B72/'Financial Statements'!$B$72</f>
        <v>1</v>
      </c>
      <c r="C71" s="71">
        <f>'Financial Statements'!C72/'Financial Statements'!$C$72</f>
        <v>1</v>
      </c>
      <c r="D71" s="71">
        <f>'Financial Statements'!D72/'Financial Statements'!$D$72</f>
        <v>1</v>
      </c>
      <c r="E71" s="71">
        <f>'Financial Statements'!E72/'Financial Statements'!$E$72</f>
        <v>1</v>
      </c>
      <c r="F71" s="71">
        <f>'Financial Statements'!F72/'Financial Statements'!$F$72</f>
        <v>1</v>
      </c>
      <c r="G71" s="71">
        <f>'Financial Statements'!G72/'Financial Statements'!$G$72</f>
        <v>1</v>
      </c>
      <c r="H71" s="71">
        <f>'Financial Statements'!H72/'Financial Statements'!$H$72</f>
        <v>1</v>
      </c>
      <c r="I71" s="71">
        <f>'Financial Statements'!I72/'Financial Statements'!$I$72</f>
        <v>1</v>
      </c>
      <c r="J71" s="71">
        <f>'Financial Statements'!J72/'Financial Statements'!$J$72</f>
        <v>1</v>
      </c>
      <c r="K71" s="71">
        <f>'Financial Statements'!K72/'Financial Statements'!$K$72</f>
        <v>1</v>
      </c>
      <c r="L71" s="83">
        <f>'Financial Statements'!L72/'Financial Statements'!$L$72</f>
        <v>1</v>
      </c>
      <c r="M71" s="83">
        <f>'Financial Statements'!M72/'Financial Statements'!$M$72</f>
        <v>1</v>
      </c>
      <c r="N71" s="83">
        <f>'Financial Statements'!N72/'Financial Statements'!$N$72</f>
        <v>1</v>
      </c>
      <c r="O71" s="83">
        <f>'Financial Statements'!O72/'Financial Statements'!$O$72</f>
        <v>1</v>
      </c>
      <c r="P71" s="83">
        <f>'Financial Statements'!P72/'Financial Statements'!$P$72</f>
        <v>1</v>
      </c>
    </row>
    <row r="72" spans="1:16" ht="16.2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showGridLines="0" zoomScaleNormal="100" workbookViewId="0">
      <selection activeCell="K11" sqref="K11"/>
    </sheetView>
  </sheetViews>
  <sheetFormatPr defaultColWidth="16.5" defaultRowHeight="15.6" x14ac:dyDescent="0.3"/>
  <cols>
    <col min="1" max="1" width="37.69921875" style="9" customWidth="1"/>
    <col min="2" max="2" width="10.3984375" style="9" hidden="1" customWidth="1"/>
    <col min="3" max="3" width="10.09765625" style="9" bestFit="1" customWidth="1"/>
    <col min="4" max="10" width="10.3984375" style="9" customWidth="1"/>
    <col min="11" max="11" width="10.3984375" style="9" bestFit="1" customWidth="1"/>
    <col min="12" max="12" width="12.19921875" style="9" customWidth="1"/>
    <col min="13" max="13" width="11.8984375" style="9" customWidth="1"/>
    <col min="14" max="14" width="13.19921875" style="9" customWidth="1"/>
    <col min="15" max="15" width="13.59765625" style="9" customWidth="1"/>
    <col min="16" max="16" width="13" style="9" customWidth="1"/>
    <col min="17" max="16384" width="16.5" style="9"/>
  </cols>
  <sheetData>
    <row r="1" spans="1:24" x14ac:dyDescent="0.3">
      <c r="I1" s="86" t="s">
        <v>54</v>
      </c>
      <c r="J1" s="86"/>
      <c r="K1" s="86"/>
      <c r="L1" s="86"/>
      <c r="M1" s="86" t="s">
        <v>55</v>
      </c>
      <c r="N1" s="86"/>
      <c r="O1" s="86"/>
      <c r="P1" s="86"/>
    </row>
    <row r="2" spans="1:24" x14ac:dyDescent="0.3">
      <c r="B2" s="48">
        <v>42369</v>
      </c>
      <c r="C2" s="48">
        <v>42735</v>
      </c>
      <c r="D2" s="48">
        <v>43100</v>
      </c>
      <c r="E2" s="48">
        <v>43465</v>
      </c>
      <c r="F2" s="48">
        <v>43830</v>
      </c>
      <c r="G2" s="48">
        <v>44196</v>
      </c>
      <c r="H2" s="48">
        <v>44561</v>
      </c>
      <c r="I2" s="48">
        <v>44926</v>
      </c>
      <c r="J2" s="48">
        <v>45291</v>
      </c>
      <c r="K2" s="48">
        <v>45292</v>
      </c>
      <c r="L2" s="65">
        <v>45658</v>
      </c>
      <c r="M2" s="65">
        <v>46023</v>
      </c>
      <c r="N2" s="65">
        <v>46388</v>
      </c>
      <c r="O2" s="65">
        <v>46753</v>
      </c>
      <c r="P2" s="65">
        <v>47119</v>
      </c>
    </row>
    <row r="3" spans="1:24" x14ac:dyDescent="0.3">
      <c r="A3" t="s">
        <v>33</v>
      </c>
      <c r="B3" s="51"/>
      <c r="C3" s="51">
        <f>('Financial Statements'!C6-'Financial Statements'!B6)/'Financial Statements'!B6</f>
        <v>7.0055531824006839E-2</v>
      </c>
      <c r="D3" s="51">
        <f>('Financial Statements'!D6-'Financial Statements'!C6)/'Financial Statements'!C6</f>
        <v>0.37924151696606784</v>
      </c>
      <c r="E3" s="51">
        <f>('Financial Statements'!E6-'Financial Statements'!D6)/'Financial Statements'!D6</f>
        <v>0.4057887120115774</v>
      </c>
      <c r="F3" s="51">
        <f>('Financial Statements'!F6-'Financial Statements'!E6)/'Financial Statements'!E6</f>
        <v>0.20609429689108502</v>
      </c>
      <c r="G3" s="51">
        <f>('Financial Statements'!G6-'Financial Statements'!F6)/'Financial Statements'!F6</f>
        <v>-6.8111983612154314E-2</v>
      </c>
      <c r="H3" s="51">
        <f>('Financial Statements'!H6-'Financial Statements'!G6)/'Financial Statements'!G6</f>
        <v>0.52729437625938813</v>
      </c>
      <c r="I3" s="51">
        <f>('Financial Statements'!I6-'Financial Statements'!H6)/'Financial Statements'!H6</f>
        <v>0.61403298350824587</v>
      </c>
      <c r="J3" s="51">
        <f>('Financial Statements'!J6-'Financial Statements'!I6)/'Financial Statements'!I6</f>
        <v>2.2293230289068887E-3</v>
      </c>
      <c r="K3" s="51">
        <f>('Financial Statements'!K6-'Financial Statements'!J6)/'Financial Statements'!J6</f>
        <v>1.2585452658115222</v>
      </c>
      <c r="L3" s="49">
        <v>0.1</v>
      </c>
      <c r="M3" s="49">
        <v>0.15</v>
      </c>
      <c r="N3" s="49">
        <v>0.2</v>
      </c>
      <c r="O3" s="49">
        <v>0.25</v>
      </c>
      <c r="P3" s="49">
        <v>0.3</v>
      </c>
    </row>
    <row r="4" spans="1:24" x14ac:dyDescent="0.3">
      <c r="A4" t="s">
        <v>30</v>
      </c>
      <c r="C4" s="52">
        <f>'Financial Statements'!C7/'Financial Statements'!C6</f>
        <v>0.43892215568862275</v>
      </c>
      <c r="D4" s="52">
        <f>'Financial Statements'!D7/'Financial Statements'!D6</f>
        <v>0.41201157742402317</v>
      </c>
      <c r="E4" s="52">
        <f>'Financial Statements'!E7/'Financial Statements'!E6</f>
        <v>0.40065884290714432</v>
      </c>
      <c r="F4" s="52">
        <f>'Financial Statements'!F7/'Financial Statements'!F6</f>
        <v>0.38793103448275862</v>
      </c>
      <c r="G4" s="52">
        <f>'Financial Statements'!G7/'Financial Statements'!G6</f>
        <v>0.38010624656530501</v>
      </c>
      <c r="H4" s="52">
        <f>'Financial Statements'!H7/'Financial Statements'!H6</f>
        <v>0.36689655172413793</v>
      </c>
      <c r="I4" s="52">
        <f>'Financial Statements'!I7/'Financial Statements'!I6</f>
        <v>0.35070966783086871</v>
      </c>
      <c r="J4" s="52">
        <f>'Financial Statements'!J7/'Financial Statements'!J6</f>
        <v>0.43071105509008673</v>
      </c>
      <c r="K4" s="52">
        <f>'Financial Statements'!K7/'Financial Statements'!K6</f>
        <v>0.27282426709563046</v>
      </c>
      <c r="L4" s="49">
        <v>0.35</v>
      </c>
      <c r="M4" s="49">
        <v>0.35</v>
      </c>
      <c r="N4" s="49">
        <v>0.35</v>
      </c>
      <c r="O4" s="49">
        <v>0.35</v>
      </c>
      <c r="P4" s="49">
        <v>0.35</v>
      </c>
    </row>
    <row r="5" spans="1:24" x14ac:dyDescent="0.3">
      <c r="A5" t="s">
        <v>31</v>
      </c>
      <c r="C5" s="53">
        <f>'Financial Statements'!C10/'Financial Statements'!C6</f>
        <v>0.12015968063872255</v>
      </c>
      <c r="D5" s="53">
        <f>'Financial Statements'!D10/'Financial Statements'!D6</f>
        <v>9.5947901591895798E-2</v>
      </c>
      <c r="E5" s="53">
        <f>'Financial Statements'!E10/'Financial Statements'!E6</f>
        <v>8.3899526456660489E-2</v>
      </c>
      <c r="F5" s="53">
        <f>'Financial Statements'!F10/'Financial Statements'!F6</f>
        <v>8.4585182656196647E-2</v>
      </c>
      <c r="G5" s="53">
        <f>'Financial Statements'!G10/'Financial Statements'!G6</f>
        <v>0.10010991023997069</v>
      </c>
      <c r="H5" s="53">
        <f>'Financial Statements'!H10/'Financial Statements'!H6</f>
        <v>0.11466266866566717</v>
      </c>
      <c r="I5" s="53">
        <f>'Financial Statements'!I10/'Financial Statements'!I6</f>
        <v>8.0478561343538674E-2</v>
      </c>
      <c r="J5" s="53">
        <f>'Financial Statements'!J10/'Financial Statements'!J6</f>
        <v>9.0457477570994288E-2</v>
      </c>
      <c r="K5" s="53">
        <f>'Financial Statements'!K10/'Financial Statements'!K6</f>
        <v>4.3563901382095135E-2</v>
      </c>
      <c r="L5" s="49">
        <v>0.1</v>
      </c>
      <c r="M5" s="49">
        <v>0.1</v>
      </c>
      <c r="N5" s="49">
        <v>0.1</v>
      </c>
      <c r="O5" s="49">
        <v>0.1</v>
      </c>
      <c r="P5" s="49">
        <v>0.1</v>
      </c>
    </row>
    <row r="6" spans="1:24" x14ac:dyDescent="0.3">
      <c r="A6" t="s">
        <v>32</v>
      </c>
      <c r="C6" s="24">
        <f>'Financial Statements'!C11/'Financial Statements'!C6</f>
        <v>0.26566866267465072</v>
      </c>
      <c r="D6" s="24">
        <f>'Financial Statements'!D11/'Financial Statements'!D6</f>
        <v>0.21172214182344429</v>
      </c>
      <c r="E6" s="24">
        <f>'Financial Statements'!E11/'Financial Statements'!E6</f>
        <v>0.18499073502161828</v>
      </c>
      <c r="F6" s="24">
        <f>'Financial Statements'!F11/'Financial Statements'!F6</f>
        <v>0.20279959030385797</v>
      </c>
      <c r="G6" s="24">
        <f>'Financial Statements'!G11/'Financial Statements'!G6</f>
        <v>0.25911339073090311</v>
      </c>
      <c r="H6" s="24">
        <f>'Financial Statements'!H11/'Financial Statements'!H6</f>
        <v>0.2353223388305847</v>
      </c>
      <c r="I6" s="24">
        <f>'Financial Statements'!I11/'Financial Statements'!I6</f>
        <v>0.19573456193802483</v>
      </c>
      <c r="J6" s="24">
        <f>'Financial Statements'!J11/'Financial Statements'!J6</f>
        <v>0.27207681471046191</v>
      </c>
      <c r="K6" s="24">
        <f>'Financial Statements'!K11/'Financial Statements'!K6</f>
        <v>0.14239519385443683</v>
      </c>
      <c r="L6" s="49">
        <v>0.2</v>
      </c>
      <c r="M6" s="49">
        <v>0.2</v>
      </c>
      <c r="N6" s="49">
        <v>0.2</v>
      </c>
      <c r="O6" s="49">
        <v>0.2</v>
      </c>
      <c r="P6" s="49">
        <v>0.2</v>
      </c>
      <c r="X6" s="25"/>
    </row>
    <row r="7" spans="1:24" x14ac:dyDescent="0.3">
      <c r="A7" t="s">
        <v>34</v>
      </c>
      <c r="I7" s="25"/>
      <c r="L7" s="49">
        <v>0.04</v>
      </c>
      <c r="M7" s="49">
        <v>0.04</v>
      </c>
      <c r="N7" s="49">
        <v>0.04</v>
      </c>
      <c r="O7" s="49">
        <v>0.04</v>
      </c>
      <c r="P7" s="49">
        <v>0.04</v>
      </c>
    </row>
    <row r="8" spans="1:24" x14ac:dyDescent="0.3">
      <c r="A8" t="s">
        <v>35</v>
      </c>
      <c r="C8" s="27"/>
      <c r="D8" s="8"/>
      <c r="E8" s="8"/>
      <c r="F8" s="8"/>
      <c r="G8" s="8"/>
      <c r="I8" s="25"/>
      <c r="L8" s="49">
        <v>0.06</v>
      </c>
      <c r="M8" s="49">
        <v>0.06</v>
      </c>
      <c r="N8" s="49">
        <v>0.06</v>
      </c>
      <c r="O8" s="49">
        <v>0.06</v>
      </c>
      <c r="P8" s="49">
        <v>0.06</v>
      </c>
    </row>
    <row r="9" spans="1:24" x14ac:dyDescent="0.3">
      <c r="A9" t="s">
        <v>36</v>
      </c>
      <c r="C9" s="24">
        <v>0.16</v>
      </c>
      <c r="D9" s="24">
        <v>0.3</v>
      </c>
      <c r="E9" s="24">
        <v>0.14000000000000001</v>
      </c>
      <c r="F9" s="24">
        <v>0.05</v>
      </c>
      <c r="G9" s="24">
        <v>-0.06</v>
      </c>
      <c r="H9" s="52">
        <v>0.06</v>
      </c>
      <c r="I9" s="49">
        <v>0.15</v>
      </c>
      <c r="J9" s="49">
        <v>0.13</v>
      </c>
      <c r="K9" s="49">
        <v>0.22</v>
      </c>
      <c r="L9" s="49">
        <v>0.21</v>
      </c>
      <c r="M9" s="49">
        <v>0.22</v>
      </c>
      <c r="N9" s="49">
        <v>0.23</v>
      </c>
      <c r="O9" s="49">
        <v>0.24</v>
      </c>
      <c r="P9" s="49">
        <v>0.25</v>
      </c>
    </row>
    <row r="10" spans="1:24" x14ac:dyDescent="0.3">
      <c r="A10" t="s">
        <v>25</v>
      </c>
      <c r="C10" s="24"/>
      <c r="D10" s="24"/>
      <c r="E10" s="24"/>
      <c r="F10" s="24"/>
      <c r="G10" s="24"/>
      <c r="H10" s="26"/>
      <c r="I10" s="25"/>
      <c r="K10" s="9">
        <v>2469</v>
      </c>
      <c r="L10" s="50"/>
      <c r="M10" s="50"/>
      <c r="N10" s="50"/>
      <c r="O10" s="50"/>
      <c r="P10" s="50"/>
    </row>
    <row r="11" spans="1:24" x14ac:dyDescent="0.3">
      <c r="A11"/>
      <c r="C11" s="28"/>
      <c r="D11" s="28"/>
      <c r="E11" s="28"/>
      <c r="F11" s="28"/>
      <c r="G11" s="28"/>
      <c r="H11" s="26"/>
    </row>
    <row r="12" spans="1:24" x14ac:dyDescent="0.3">
      <c r="A12" t="s">
        <v>37</v>
      </c>
      <c r="C12" s="52">
        <f>'Financial Statements'!C30/'Financial Statements'!C6</f>
        <v>0.10079840319361277</v>
      </c>
      <c r="D12" s="52">
        <f>'Financial Statements'!D30/'Financial Statements'!D6</f>
        <v>0.1195369030390738</v>
      </c>
      <c r="E12" s="52">
        <f>'Financial Statements'!E30/'Financial Statements'!E6</f>
        <v>0.13022441836524604</v>
      </c>
      <c r="F12" s="52">
        <f>'Financial Statements'!F30/'Financial Statements'!F6</f>
        <v>0.12154318880163878</v>
      </c>
      <c r="G12" s="52">
        <f>'Financial Statements'!G30/'Financial Statements'!G6</f>
        <v>0.15176772302619526</v>
      </c>
      <c r="H12" s="52">
        <f>'Financial Statements'!H30/'Financial Statements'!H6</f>
        <v>0.14566716641679162</v>
      </c>
      <c r="I12" s="52">
        <f>'Financial Statements'!I30/'Financial Statements'!I6</f>
        <v>0.17277253474028387</v>
      </c>
      <c r="J12" s="52">
        <f>'Financial Statements'!J30/'Financial Statements'!J6</f>
        <v>0.14187736338696522</v>
      </c>
      <c r="K12" s="52">
        <f>'Financial Statements'!K30/'Financial Statements'!K6</f>
        <v>0.1641279012507797</v>
      </c>
      <c r="L12" s="49">
        <v>0.16</v>
      </c>
      <c r="M12" s="49">
        <v>0.16</v>
      </c>
      <c r="N12" s="49">
        <v>0.16</v>
      </c>
      <c r="O12" s="49">
        <v>0.16</v>
      </c>
      <c r="P12" s="49">
        <v>0.16</v>
      </c>
    </row>
    <row r="13" spans="1:24" x14ac:dyDescent="0.3">
      <c r="A13" t="s">
        <v>103</v>
      </c>
      <c r="C13" s="52">
        <f>'Financial Statements'!C31/'Financial Statements'!C6</f>
        <v>8.3433133732534928E-2</v>
      </c>
      <c r="D13" s="52">
        <f>'Financial Statements'!D31/'Financial Statements'!D6</f>
        <v>0.11490593342981187</v>
      </c>
      <c r="E13" s="52">
        <f>'Financial Statements'!E31/'Financial Statements'!E6</f>
        <v>8.1943586576075769E-2</v>
      </c>
      <c r="F13" s="52">
        <f>'Financial Statements'!F31/'Financial Statements'!F6</f>
        <v>0.13443154660293616</v>
      </c>
      <c r="G13" s="52">
        <f>'Financial Statements'!G31/'Financial Statements'!G6</f>
        <v>8.9668437442755086E-2</v>
      </c>
      <c r="H13" s="52">
        <f>'Financial Statements'!H31/'Financial Statements'!H6</f>
        <v>0.10950524737631184</v>
      </c>
      <c r="I13" s="52">
        <f>'Financial Statements'!I31/'Financial Statements'!I6</f>
        <v>9.6789774838374074E-2</v>
      </c>
      <c r="J13" s="52">
        <f>'Financial Statements'!J31/'Financial Statements'!J6</f>
        <v>0.19125824868391786</v>
      </c>
      <c r="K13" s="52">
        <f>'Financial Statements'!K31/'Financial Statements'!K6</f>
        <v>8.6701027543416173E-2</v>
      </c>
      <c r="L13" s="49">
        <v>0.09</v>
      </c>
      <c r="M13" s="49">
        <v>0.09</v>
      </c>
      <c r="N13" s="49">
        <v>0.09</v>
      </c>
      <c r="O13" s="49">
        <v>0.09</v>
      </c>
      <c r="P13" s="49">
        <v>0.09</v>
      </c>
    </row>
    <row r="14" spans="1:24" x14ac:dyDescent="0.3">
      <c r="A14" t="s">
        <v>104</v>
      </c>
      <c r="C14" s="52">
        <f>'Financial Statements'!C32/'Financial Statements'!C6</f>
        <v>1.8562874251497007E-2</v>
      </c>
      <c r="D14" s="52">
        <f>'Financial Statements'!D32/'Financial Statements'!D6</f>
        <v>1.7076700434153401E-2</v>
      </c>
      <c r="E14" s="52">
        <f>'Financial Statements'!E32/'Financial Statements'!E6</f>
        <v>8.8532015647519047E-3</v>
      </c>
      <c r="F14" s="52">
        <f>'Financial Statements'!F32/'Financial Statements'!F6</f>
        <v>1.1608057357459884E-2</v>
      </c>
      <c r="G14" s="52">
        <f>'Financial Statements'!G32/'Financial Statements'!G6</f>
        <v>1.437992306283202E-2</v>
      </c>
      <c r="H14" s="52">
        <f>'Financial Statements'!H32/'Financial Statements'!H6</f>
        <v>1.4332833583208396E-2</v>
      </c>
      <c r="I14" s="52">
        <f>'Financial Statements'!I32/'Financial Statements'!I6</f>
        <v>1.359887047633202E-2</v>
      </c>
      <c r="J14" s="52">
        <f>'Financial Statements'!J32/'Financial Statements'!J6</f>
        <v>2.9324534737154295E-2</v>
      </c>
      <c r="K14" s="52">
        <f>'Financial Statements'!K32/'Financial Statements'!K6</f>
        <v>5.0556449230163163E-2</v>
      </c>
      <c r="L14" s="49">
        <v>0.05</v>
      </c>
      <c r="M14" s="49">
        <v>0.05</v>
      </c>
      <c r="N14" s="49">
        <v>0.05</v>
      </c>
      <c r="O14" s="49">
        <v>0.05</v>
      </c>
      <c r="P14" s="49">
        <v>0.05</v>
      </c>
    </row>
    <row r="15" spans="1:24" x14ac:dyDescent="0.3">
      <c r="A15" t="s">
        <v>38</v>
      </c>
      <c r="C15" s="24">
        <f>'Financial Statements'!C38/'Financial Statements'!C6</f>
        <v>9.3013972055888225E-2</v>
      </c>
      <c r="D15" s="24">
        <f>'Financial Statements'!D38/'Financial Statements'!D6</f>
        <v>7.5397973950795949E-2</v>
      </c>
      <c r="E15" s="24">
        <f>'Financial Statements'!E38/'Financial Statements'!E6</f>
        <v>0.1026353716285773</v>
      </c>
      <c r="F15" s="24">
        <f>'Financial Statements'!F38/'Financial Statements'!F6</f>
        <v>0.1198361215431888</v>
      </c>
      <c r="G15" s="24">
        <f>'Financial Statements'!G38/'Financial Statements'!G6</f>
        <v>0.20992855834401905</v>
      </c>
      <c r="H15" s="24">
        <f>'Financial Statements'!H38/'Financial Statements'!H6</f>
        <v>0.17127436281859071</v>
      </c>
      <c r="I15" s="24">
        <f>'Financial Statements'!I38/'Financial Statements'!I6</f>
        <v>0.13401946942111911</v>
      </c>
      <c r="J15" s="24">
        <f>'Financial Statements'!J38/'Financial Statements'!J6</f>
        <v>0.17961740935715875</v>
      </c>
      <c r="K15" s="24">
        <f>'Financial Statements'!K38/'Financial Statements'!K6</f>
        <v>8.6339910048915003E-2</v>
      </c>
      <c r="L15" s="52">
        <v>0.18</v>
      </c>
      <c r="M15" s="52">
        <v>0.18</v>
      </c>
      <c r="N15" s="52">
        <v>0.18</v>
      </c>
      <c r="O15" s="52">
        <v>0.18</v>
      </c>
      <c r="P15" s="52">
        <v>0.18</v>
      </c>
    </row>
    <row r="16" spans="1:24" x14ac:dyDescent="0.3">
      <c r="A16"/>
      <c r="C16" s="24"/>
      <c r="D16" s="24"/>
      <c r="E16" s="24"/>
      <c r="F16" s="24"/>
      <c r="G16" s="24"/>
      <c r="H16" s="24"/>
      <c r="I16" s="24"/>
      <c r="J16" s="24"/>
      <c r="K16" s="24"/>
      <c r="L16" s="49"/>
      <c r="M16" s="49"/>
      <c r="N16" s="49"/>
      <c r="O16" s="49"/>
      <c r="P16" s="49"/>
    </row>
    <row r="17" spans="1:16" x14ac:dyDescent="0.3">
      <c r="A17" t="s">
        <v>39</v>
      </c>
      <c r="C17" s="52">
        <f>'Financial Statements'!C49/'Financial Statements'!C6</f>
        <v>5.9081836327345309E-2</v>
      </c>
      <c r="D17" s="52">
        <f>'Financial Statements'!D49/'Financial Statements'!D6</f>
        <v>7.0188133140376266E-2</v>
      </c>
      <c r="E17" s="52">
        <f>'Financial Statements'!E49/'Financial Statements'!E6</f>
        <v>6.1354745727815525E-2</v>
      </c>
      <c r="F17" s="52">
        <f>'Financial Statements'!F49/'Financial Statements'!F6</f>
        <v>4.3615568453397063E-2</v>
      </c>
      <c r="G17" s="52">
        <f>'Financial Statements'!G49/'Financial Statements'!G6</f>
        <v>6.2923612383220376E-2</v>
      </c>
      <c r="H17" s="52">
        <f>'Financial Statements'!H49/'Financial Statements'!H6</f>
        <v>6.890554722638681E-2</v>
      </c>
      <c r="I17" s="52">
        <f>'Financial Statements'!I49/'Financial Statements'!I6</f>
        <v>6.6248049342349707E-2</v>
      </c>
      <c r="J17" s="52">
        <f>'Financial Statements'!J49/'Financial Statements'!J6</f>
        <v>4.4227774894342702E-2</v>
      </c>
      <c r="K17" s="52">
        <f>'Financial Statements'!K49/'Financial Statements'!K6</f>
        <v>4.4302550802665701E-2</v>
      </c>
      <c r="L17" s="49">
        <v>0.05</v>
      </c>
      <c r="M17" s="49">
        <v>0.04</v>
      </c>
      <c r="N17" s="49">
        <v>0.03</v>
      </c>
      <c r="O17" s="49">
        <v>0.02</v>
      </c>
      <c r="P17" s="49">
        <v>0.04</v>
      </c>
    </row>
    <row r="18" spans="1:16" x14ac:dyDescent="0.3">
      <c r="A18" t="s">
        <v>40</v>
      </c>
      <c r="C18" s="52">
        <f>'Financial Statements'!C50/'Financial Statements'!C6</f>
        <v>2.1157684630738523E-2</v>
      </c>
      <c r="D18" s="52">
        <f>'Financial Statements'!D50/'Financial Statements'!D6</f>
        <v>2.5759768451519536E-2</v>
      </c>
      <c r="E18" s="52">
        <f>'Financial Statements'!E50/'Financial Statements'!E6</f>
        <v>2.3059501750051472E-2</v>
      </c>
      <c r="F18" s="52">
        <f>'Financial Statements'!F50/'Financial Statements'!F6</f>
        <v>1.7070672584499829E-2</v>
      </c>
      <c r="G18" s="52">
        <f>'Financial Statements'!G50/'Financial Statements'!G6</f>
        <v>2.0424986261220003E-2</v>
      </c>
      <c r="H18" s="52">
        <f>'Financial Statements'!H50/'Financial Statements'!H6</f>
        <v>1.7811094452773613E-2</v>
      </c>
      <c r="I18" s="52">
        <f>'Financial Statements'!I50/'Financial Statements'!I6</f>
        <v>1.5196551980381957E-2</v>
      </c>
      <c r="J18" s="52">
        <f>'Financial Statements'!J50/'Financial Statements'!J6</f>
        <v>1.9648550455994663E-2</v>
      </c>
      <c r="K18" s="52">
        <f>'Financial Statements'!K50/'Financial Statements'!K6</f>
        <v>1.1079741308558485E-2</v>
      </c>
      <c r="L18" s="49">
        <v>0.04</v>
      </c>
      <c r="M18" s="49">
        <v>0.03</v>
      </c>
      <c r="N18" s="49">
        <v>0.03</v>
      </c>
      <c r="O18" s="49">
        <v>0.03</v>
      </c>
      <c r="P18" s="49">
        <v>0.03</v>
      </c>
    </row>
    <row r="19" spans="1:16" x14ac:dyDescent="0.3">
      <c r="A19" t="s">
        <v>56</v>
      </c>
      <c r="C19" s="52">
        <f>'Financial Statements'!C54/'Financial Statements'!C6</f>
        <v>6.4271457085828348E-2</v>
      </c>
      <c r="D19" s="52">
        <f>'Financial Statements'!D54/'Financial Statements'!D6</f>
        <v>1.2301013024602027E-2</v>
      </c>
      <c r="E19" s="52">
        <f>'Financial Statements'!E54/'Financial Statements'!E6</f>
        <v>5.456042824788964E-3</v>
      </c>
      <c r="F19" s="52">
        <f>'Financial Statements'!F54/'Financial Statements'!F6</f>
        <v>7.8525093888699212E-3</v>
      </c>
      <c r="G19" s="52">
        <f>'Financial Statements'!G54/'Financial Statements'!G6</f>
        <v>1.2914453196556146E-2</v>
      </c>
      <c r="H19" s="52">
        <f>'Financial Statements'!H54/'Financial Statements'!H6</f>
        <v>1.7271364317841081E-2</v>
      </c>
      <c r="I19" s="52">
        <f>'Financial Statements'!I54/'Financial Statements'!I6</f>
        <v>1.1146615144534444E-2</v>
      </c>
      <c r="J19" s="52">
        <f>'Financial Statements'!J54/'Financial Statements'!J6</f>
        <v>1.3123748795136057E-2</v>
      </c>
      <c r="K19" s="52">
        <f>'Financial Statements'!K54/'Financial Statements'!K6</f>
        <v>1.254062571813138E-2</v>
      </c>
      <c r="L19" s="52">
        <v>0.02</v>
      </c>
      <c r="M19" s="52">
        <v>0.01</v>
      </c>
      <c r="N19" s="52">
        <v>0.01</v>
      </c>
      <c r="O19" s="52">
        <v>0.01</v>
      </c>
      <c r="P19" s="52">
        <v>0.01</v>
      </c>
    </row>
    <row r="20" spans="1:16" x14ac:dyDescent="0.3">
      <c r="A20" s="9" t="s">
        <v>105</v>
      </c>
      <c r="C20" s="52">
        <f>'Financial Statements'!C55/'Financial Statements'!C6</f>
        <v>4.1516966067864272E-2</v>
      </c>
      <c r="D20" s="52">
        <f>'Financial Statements'!D55/'Financial Statements'!D6</f>
        <v>3.4153400868306802E-2</v>
      </c>
      <c r="E20" s="52">
        <f>'Financial Statements'!E55/'Financial Statements'!E6</f>
        <v>2.3883055383981881E-2</v>
      </c>
      <c r="F20" s="52">
        <f>'Financial Statements'!F55/'Financial Statements'!F6</f>
        <v>3.7128712871287127E-2</v>
      </c>
      <c r="G20" s="52">
        <f>'Financial Statements'!G55/'Financial Statements'!G6</f>
        <v>5.3214874519142703E-2</v>
      </c>
      <c r="H20" s="52">
        <f>'Financial Statements'!H55/'Financial Statements'!H6</f>
        <v>7.1484257871064466E-2</v>
      </c>
      <c r="I20" s="52">
        <f>'Financial Statements'!I55/'Financial Statements'!I6</f>
        <v>5.8222486438284905E-2</v>
      </c>
      <c r="J20" s="52">
        <f>'Financial Statements'!J55/'Financial Statements'!J6</f>
        <v>9.612960628753614E-2</v>
      </c>
      <c r="K20" s="52">
        <f>'Financial Statements'!K55/'Financial Statements'!K6</f>
        <v>7.7459702570499986E-2</v>
      </c>
      <c r="L20" s="52">
        <v>0.08</v>
      </c>
      <c r="M20" s="52">
        <v>0.03</v>
      </c>
      <c r="N20" s="52">
        <v>0.03</v>
      </c>
      <c r="O20" s="52">
        <v>0.02</v>
      </c>
      <c r="P20" s="52">
        <v>0.04</v>
      </c>
    </row>
    <row r="21" spans="1:16" x14ac:dyDescent="0.3">
      <c r="A21"/>
    </row>
    <row r="22" spans="1:16" x14ac:dyDescent="0.3">
      <c r="A22"/>
    </row>
    <row r="23" spans="1:16" x14ac:dyDescent="0.3">
      <c r="A23"/>
    </row>
    <row r="24" spans="1:16" x14ac:dyDescent="0.3">
      <c r="A24"/>
    </row>
    <row r="25" spans="1:16" x14ac:dyDescent="0.3">
      <c r="A25"/>
    </row>
    <row r="26" spans="1:16" x14ac:dyDescent="0.3">
      <c r="A26"/>
    </row>
    <row r="27" spans="1:16" x14ac:dyDescent="0.3">
      <c r="A27"/>
    </row>
  </sheetData>
  <mergeCells count="2">
    <mergeCell ref="I1:L1"/>
    <mergeCell ref="M1:P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workbookViewId="0">
      <selection activeCell="C13" sqref="C13"/>
    </sheetView>
  </sheetViews>
  <sheetFormatPr defaultColWidth="11" defaultRowHeight="15.6" x14ac:dyDescent="0.3"/>
  <cols>
    <col min="1" max="1" width="34.5" customWidth="1"/>
    <col min="2" max="2" width="19" bestFit="1" customWidth="1"/>
    <col min="3" max="3" width="16.59765625" bestFit="1" customWidth="1"/>
    <col min="4" max="4" width="16.3984375" bestFit="1" customWidth="1"/>
    <col min="5" max="6" width="18" bestFit="1" customWidth="1"/>
    <col min="7" max="7" width="19" bestFit="1" customWidth="1"/>
    <col min="8" max="8" width="17.3984375" bestFit="1" customWidth="1"/>
  </cols>
  <sheetData>
    <row r="1" spans="1:8" x14ac:dyDescent="0.3">
      <c r="A1" s="29"/>
      <c r="B1" s="30"/>
      <c r="C1" s="30" t="s">
        <v>41</v>
      </c>
      <c r="D1" s="30" t="s">
        <v>52</v>
      </c>
      <c r="E1" s="30" t="s">
        <v>53</v>
      </c>
      <c r="F1" s="30" t="s">
        <v>106</v>
      </c>
      <c r="G1" s="30" t="s">
        <v>107</v>
      </c>
    </row>
    <row r="2" spans="1:8" x14ac:dyDescent="0.3">
      <c r="A2" t="s">
        <v>24</v>
      </c>
      <c r="C2" s="10">
        <f>'Financial Statements'!L34</f>
        <v>20104.260000000002</v>
      </c>
      <c r="D2" s="10">
        <f>'Financial Statements'!M34</f>
        <v>23119.899000000001</v>
      </c>
      <c r="E2" s="10">
        <f>'Financial Statements'!N34</f>
        <v>27743.878800000002</v>
      </c>
      <c r="F2" s="10">
        <f>'Financial Statements'!O34</f>
        <v>34679.8485</v>
      </c>
      <c r="G2" s="10">
        <f>'Financial Statements'!P34</f>
        <v>45083.803050000002</v>
      </c>
      <c r="H2" s="31"/>
    </row>
    <row r="3" spans="1:8" x14ac:dyDescent="0.3">
      <c r="A3" t="s">
        <v>42</v>
      </c>
      <c r="C3" s="11">
        <f>'Financial Statements'!S11</f>
        <v>-7193426.2400000012</v>
      </c>
      <c r="D3" s="11">
        <f>'Financial Statements'!T11</f>
        <v>-7564004.4443333345</v>
      </c>
      <c r="E3" s="11">
        <f>'Financial Statements'!U11</f>
        <v>-3720248.6368666636</v>
      </c>
      <c r="F3" s="11">
        <f>'Financial Statements'!V11</f>
        <v>-8470360.3303000014</v>
      </c>
      <c r="G3" s="11">
        <f>'Financial Statements'!W11</f>
        <v>-567593.52045000147</v>
      </c>
      <c r="H3" s="31"/>
    </row>
    <row r="4" spans="1:8" x14ac:dyDescent="0.3">
      <c r="A4" t="s">
        <v>60</v>
      </c>
      <c r="C4" s="12">
        <f>'Financial Statements'!L38-'Financial Statements'!K38</f>
        <v>6802.5560000000023</v>
      </c>
      <c r="D4" s="12">
        <f>'Financial Statements'!M38-'Financial Statements'!L38</f>
        <v>1809.383399999997</v>
      </c>
      <c r="E4" s="12">
        <f>'Financial Statements'!N38-'Financial Statements'!M38</f>
        <v>2774.387880000002</v>
      </c>
      <c r="F4" s="12">
        <f>'Financial Statements'!O38-'Financial Statements'!N38</f>
        <v>4161.5818199999994</v>
      </c>
      <c r="G4" s="12">
        <f>'Financial Statements'!P38-'Financial Statements'!O38</f>
        <v>6242.3727300000028</v>
      </c>
      <c r="H4" s="31"/>
    </row>
    <row r="5" spans="1:8" x14ac:dyDescent="0.3">
      <c r="A5" t="s">
        <v>43</v>
      </c>
      <c r="C5" s="11">
        <f>C2-C3-C4</f>
        <v>7206727.9440000011</v>
      </c>
      <c r="D5" s="11">
        <f t="shared" ref="D5:G5" si="0">D2-D3-D4</f>
        <v>7585314.959933335</v>
      </c>
      <c r="E5" s="11">
        <f t="shared" si="0"/>
        <v>3745218.1277866638</v>
      </c>
      <c r="F5" s="11">
        <f t="shared" si="0"/>
        <v>8500878.5969800018</v>
      </c>
      <c r="G5" s="11">
        <f t="shared" si="0"/>
        <v>606434.95077000139</v>
      </c>
      <c r="H5" s="31"/>
    </row>
    <row r="6" spans="1:8" x14ac:dyDescent="0.3">
      <c r="C6" s="32"/>
      <c r="D6" s="32"/>
      <c r="E6" s="32"/>
      <c r="F6" s="32"/>
      <c r="G6" s="12">
        <f>G5*(1+B22)/(B20-B22)</f>
        <v>8615558.6109393295</v>
      </c>
      <c r="H6" s="31" t="s">
        <v>44</v>
      </c>
    </row>
    <row r="7" spans="1:8" x14ac:dyDescent="0.3">
      <c r="A7" t="s">
        <v>59</v>
      </c>
      <c r="B7" s="33"/>
      <c r="C7" s="10">
        <f>C5+C6</f>
        <v>7206727.9440000011</v>
      </c>
      <c r="D7" s="10">
        <f t="shared" ref="D7:G7" si="1">D5+D6</f>
        <v>7585314.959933335</v>
      </c>
      <c r="E7" s="10">
        <f t="shared" si="1"/>
        <v>3745218.1277866638</v>
      </c>
      <c r="F7" s="10">
        <f t="shared" si="1"/>
        <v>8500878.5969800018</v>
      </c>
      <c r="G7" s="10">
        <f t="shared" si="1"/>
        <v>9221993.5617093313</v>
      </c>
      <c r="H7" s="31"/>
    </row>
    <row r="8" spans="1:8" x14ac:dyDescent="0.3">
      <c r="C8" s="31"/>
      <c r="D8" s="31"/>
      <c r="E8" s="31"/>
      <c r="F8" s="31"/>
      <c r="G8" s="31"/>
      <c r="H8" s="31"/>
    </row>
    <row r="9" spans="1:8" x14ac:dyDescent="0.3">
      <c r="A9" t="s">
        <v>45</v>
      </c>
      <c r="B9" s="10">
        <f>NPV(B20,C7:G7)</f>
        <v>26987144.826629605</v>
      </c>
      <c r="C9" s="31"/>
      <c r="D9" s="31"/>
      <c r="E9" s="31"/>
      <c r="F9" s="31"/>
      <c r="G9" s="31"/>
      <c r="H9" s="31"/>
    </row>
    <row r="10" spans="1:8" x14ac:dyDescent="0.3">
      <c r="A10" s="34" t="s">
        <v>108</v>
      </c>
      <c r="B10" s="84">
        <f>B9/B24</f>
        <v>10930.394826500447</v>
      </c>
      <c r="C10" s="31"/>
      <c r="D10" s="31"/>
      <c r="E10" s="31"/>
      <c r="F10" s="31"/>
      <c r="G10" s="31"/>
      <c r="H10" s="31"/>
    </row>
    <row r="11" spans="1:8" x14ac:dyDescent="0.3">
      <c r="A11" s="34"/>
      <c r="B11" s="67"/>
      <c r="C11" s="44"/>
      <c r="D11" s="45"/>
      <c r="E11" s="46"/>
    </row>
    <row r="12" spans="1:8" x14ac:dyDescent="0.3">
      <c r="A12" s="34" t="s">
        <v>110</v>
      </c>
      <c r="B12" s="34">
        <v>1208</v>
      </c>
    </row>
    <row r="13" spans="1:8" x14ac:dyDescent="0.3">
      <c r="A13" s="34"/>
      <c r="B13" s="34"/>
    </row>
    <row r="16" spans="1:8" ht="28.8" x14ac:dyDescent="0.55000000000000004">
      <c r="A16" s="35" t="s">
        <v>46</v>
      </c>
      <c r="B16" s="36"/>
      <c r="G16" s="37"/>
    </row>
    <row r="17" spans="1:9" x14ac:dyDescent="0.3">
      <c r="A17" t="s">
        <v>47</v>
      </c>
      <c r="B17" s="38">
        <v>0.08</v>
      </c>
      <c r="C17" s="38"/>
      <c r="H17" s="38"/>
    </row>
    <row r="18" spans="1:9" x14ac:dyDescent="0.3">
      <c r="A18" t="s">
        <v>48</v>
      </c>
      <c r="B18">
        <v>1.75</v>
      </c>
    </row>
    <row r="19" spans="1:9" x14ac:dyDescent="0.3">
      <c r="A19" t="s">
        <v>49</v>
      </c>
      <c r="B19" s="39">
        <v>0.05</v>
      </c>
      <c r="C19" s="39"/>
    </row>
    <row r="20" spans="1:9" x14ac:dyDescent="0.3">
      <c r="A20" t="s">
        <v>50</v>
      </c>
      <c r="B20" s="40">
        <f>B19+B18*(B17-B19)</f>
        <v>0.10250000000000001</v>
      </c>
      <c r="C20" s="41"/>
    </row>
    <row r="22" spans="1:9" x14ac:dyDescent="0.3">
      <c r="A22" t="s">
        <v>51</v>
      </c>
      <c r="B22" s="38">
        <v>0.03</v>
      </c>
      <c r="G22" s="35"/>
      <c r="H22" s="42"/>
    </row>
    <row r="23" spans="1:9" x14ac:dyDescent="0.3">
      <c r="G23" s="35"/>
      <c r="H23" s="39"/>
    </row>
    <row r="24" spans="1:9" x14ac:dyDescent="0.3">
      <c r="A24" t="s">
        <v>109</v>
      </c>
      <c r="B24">
        <v>2469</v>
      </c>
      <c r="I24" s="39"/>
    </row>
    <row r="25" spans="1:9" x14ac:dyDescent="0.3">
      <c r="H25" s="39"/>
    </row>
    <row r="26" spans="1:9" x14ac:dyDescent="0.3">
      <c r="A26" s="34"/>
      <c r="B26" s="34"/>
      <c r="F26" s="43"/>
    </row>
    <row r="27" spans="1:9" x14ac:dyDescent="0.3">
      <c r="A27" s="34"/>
      <c r="B27" s="34"/>
    </row>
    <row r="28" spans="1:9" x14ac:dyDescent="0.3">
      <c r="A28" s="34"/>
    </row>
    <row r="29" spans="1:9" x14ac:dyDescent="0.3">
      <c r="A29" s="34"/>
      <c r="B29" s="38"/>
      <c r="C29" s="38"/>
      <c r="D29" s="38"/>
      <c r="E29" s="38"/>
      <c r="F29" s="38"/>
      <c r="G29" s="38"/>
    </row>
    <row r="30" spans="1:9" x14ac:dyDescent="0.3">
      <c r="A30" s="34"/>
      <c r="B30" s="34"/>
    </row>
    <row r="31" spans="1:9" x14ac:dyDescent="0.3">
      <c r="B31" s="38"/>
      <c r="C31" s="38"/>
      <c r="D31" s="38"/>
      <c r="E31" s="38"/>
      <c r="F31" s="38"/>
      <c r="G31" s="3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F2B4-9268-4B81-89D1-FF42E939F817}">
  <dimension ref="A1"/>
  <sheetViews>
    <sheetView workbookViewId="0">
      <selection activeCell="D17" sqref="D17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Statements</vt:lpstr>
      <vt:lpstr>Ratio Analysis</vt:lpstr>
      <vt:lpstr>Common-Size Statements</vt:lpstr>
      <vt:lpstr>Forecast Assumptions</vt:lpstr>
      <vt:lpstr>Valuation</vt:lpstr>
      <vt:lpstr>Input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Stocker;John</dc:creator>
  <cp:lastModifiedBy>swapnil tungare</cp:lastModifiedBy>
  <cp:lastPrinted>2024-06-09T09:29:41Z</cp:lastPrinted>
  <dcterms:created xsi:type="dcterms:W3CDTF">2021-09-29T14:16:09Z</dcterms:created>
  <dcterms:modified xsi:type="dcterms:W3CDTF">2024-06-11T03:53:49Z</dcterms:modified>
</cp:coreProperties>
</file>